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CKER" sheetId="2" r:id="rId6"/>
    <sheet state="visible" name="DAY 1" sheetId="3" r:id="rId7"/>
    <sheet state="visible" name="DAY 2" sheetId="4" r:id="rId8"/>
    <sheet state="visible" name="DAY 3" sheetId="5" r:id="rId9"/>
    <sheet state="visible" name="DAY 4" sheetId="6" r:id="rId10"/>
    <sheet state="visible" name="DAY 5" sheetId="7" r:id="rId11"/>
    <sheet state="visible" name="DAY 6" sheetId="8" r:id="rId12"/>
  </sheets>
  <definedNames/>
  <calcPr/>
</workbook>
</file>

<file path=xl/sharedStrings.xml><?xml version="1.0" encoding="utf-8"?>
<sst xmlns="http://schemas.openxmlformats.org/spreadsheetml/2006/main" count="1745" uniqueCount="265">
  <si>
    <t>CENTRO DE MANDO  —  PROGRAMA DE HIPERTROFIA Y RECOMPOSICION CORPORAL</t>
  </si>
  <si>
    <t>Inicio: Mie 25/03/2026   |   8 Microciclos   |   Fuente 12</t>
  </si>
  <si>
    <t>KPIs NUTRICIONALES DIARIOS</t>
  </si>
  <si>
    <t>CALORIAS TARGET</t>
  </si>
  <si>
    <t>PROTEINA</t>
  </si>
  <si>
    <t>GRASA</t>
  </si>
  <si>
    <t>CARBOHIDRATOS</t>
  </si>
  <si>
    <t>% BF INICIAL</t>
  </si>
  <si>
    <t>1,850 Kcal</t>
  </si>
  <si>
    <t>135 g</t>
  </si>
  <si>
    <t>40 g</t>
  </si>
  <si>
    <t>235 g</t>
  </si>
  <si>
    <t>12.0 %</t>
  </si>
  <si>
    <t>EVOLUCION PESO CORPORAL (kg)</t>
  </si>
  <si>
    <t>EVOLUCION % GRASA CORPORAL (BF%)</t>
  </si>
  <si>
    <t>Microciclo</t>
  </si>
  <si>
    <t>Peso Prom (kg)</t>
  </si>
  <si>
    <t>BF% Estimado</t>
  </si>
  <si>
    <t>MC01</t>
  </si>
  <si>
    <t>MC02</t>
  </si>
  <si>
    <t>MC03</t>
  </si>
  <si>
    <t>MC04</t>
  </si>
  <si>
    <t>MC05</t>
  </si>
  <si>
    <t>MC06</t>
  </si>
  <si>
    <t>MC07</t>
  </si>
  <si>
    <t>MC08</t>
  </si>
  <si>
    <t>TABLA DE PROGRESION  —  TONELAJE POR EJERCICIO Y MICROCICLO  (Reps x Kg)</t>
  </si>
  <si>
    <t>DIA</t>
  </si>
  <si>
    <t>EJERCICIO</t>
  </si>
  <si>
    <t>MC01  Ton.kg</t>
  </si>
  <si>
    <t>MC01  Estado</t>
  </si>
  <si>
    <t>MC02  Ton.kg</t>
  </si>
  <si>
    <t>MC02  Estado</t>
  </si>
  <si>
    <t>MC03  Ton.kg</t>
  </si>
  <si>
    <t>MC03  Estado</t>
  </si>
  <si>
    <t>MC04  Ton.kg</t>
  </si>
  <si>
    <t>MC04  Estado</t>
  </si>
  <si>
    <t>MC05  Ton.kg</t>
  </si>
  <si>
    <t>MC05  Estado</t>
  </si>
  <si>
    <t>MC06  Ton.kg</t>
  </si>
  <si>
    <t>MC06  Estado</t>
  </si>
  <si>
    <t>MC07  Ton.kg</t>
  </si>
  <si>
    <t>MC07  Estado</t>
  </si>
  <si>
    <t>MC08  Ton.kg</t>
  </si>
  <si>
    <t>MC08  Estado</t>
  </si>
  <si>
    <t>DAY 1</t>
  </si>
  <si>
    <t>Zancadas con mancuernas</t>
  </si>
  <si>
    <t>—</t>
  </si>
  <si>
    <t>Extension de cuadriceps en maquina</t>
  </si>
  <si>
    <t>Curl femoral tumbado en maquina</t>
  </si>
  <si>
    <t>Elevaciones laterales con mancuerna</t>
  </si>
  <si>
    <t>Elevaciones laterales en polea baja</t>
  </si>
  <si>
    <t>Elevaciones laterales en polea media</t>
  </si>
  <si>
    <t>Crunch abdominal en polea</t>
  </si>
  <si>
    <t>DAY 2</t>
  </si>
  <si>
    <t>Jalon al pecho con agarre neutro</t>
  </si>
  <si>
    <t>Remo en maquina con apoyo en el pecho</t>
  </si>
  <si>
    <t>Remo Gironda en polea baja</t>
  </si>
  <si>
    <t>Pull-over con cuerda en polea alta</t>
  </si>
  <si>
    <t>Pajaros para deltoide posterior en maquina</t>
  </si>
  <si>
    <t>Curl Scott en maquina</t>
  </si>
  <si>
    <t>Rueda abdominal</t>
  </si>
  <si>
    <t>DAY 3</t>
  </si>
  <si>
    <t>Press plano en maquina</t>
  </si>
  <si>
    <t>Press inclinado en multipower</t>
  </si>
  <si>
    <t>Press declinado en maquina</t>
  </si>
  <si>
    <t>Aperturas en Pec-Deck</t>
  </si>
  <si>
    <t>Extension de triceps en polea alta</t>
  </si>
  <si>
    <t>Extensiones Katana en polea</t>
  </si>
  <si>
    <t>DAY 4</t>
  </si>
  <si>
    <t>Peso muerto rumano con mancuernas</t>
  </si>
  <si>
    <t>Prensa de piernas inclinada</t>
  </si>
  <si>
    <t>Curl femoral sentado en maquina</t>
  </si>
  <si>
    <t>Aductores en maquina</t>
  </si>
  <si>
    <t>Gemelos en prensa</t>
  </si>
  <si>
    <t>Elevaciones de piernas tumbado</t>
  </si>
  <si>
    <t>DAY 5</t>
  </si>
  <si>
    <t>Remo unilateral en maquina</t>
  </si>
  <si>
    <t>Curl martillo con mancuernas</t>
  </si>
  <si>
    <t>Curl Bayesian en polea</t>
  </si>
  <si>
    <t>Plancha abdominal lastrada</t>
  </si>
  <si>
    <t>DAY 6</t>
  </si>
  <si>
    <t>Press inclinado con mancuernas</t>
  </si>
  <si>
    <t>Press plano convergente en maquina</t>
  </si>
  <si>
    <t>Cruces en polea de alta a baja</t>
  </si>
  <si>
    <t>Aperturas en polea baja</t>
  </si>
  <si>
    <t>Fondos de triceps en maquina</t>
  </si>
  <si>
    <t>Extension de triceps a una mano en polea</t>
  </si>
  <si>
    <t>TRACKER DIARIO  —  SEGUIMIENTO DE METRICAS CORPORALES Y NUTRICION</t>
  </si>
  <si>
    <t>Registro Diario  |  Promedios Semanales  |  Delta Peso  |  BF% Automatico</t>
  </si>
  <si>
    <t>PARAMETROS DE REFERENCIA  (solo modificar si cambias el punto de partida)</t>
  </si>
  <si>
    <t>PESO INICIAL (kg)</t>
  </si>
  <si>
    <t>BF% INICIAL</t>
  </si>
  <si>
    <t>FECHA INICIO</t>
  </si>
  <si>
    <t>25/03/2026</t>
  </si>
  <si>
    <t>FECHA</t>
  </si>
  <si>
    <t>PESO AYUNAS (kg) [ ]</t>
  </si>
  <si>
    <t>KCAL Consumidas [ ]</t>
  </si>
  <si>
    <t>PROTEINA (g) [ ]</t>
  </si>
  <si>
    <t>CARBOS (g) [ ]</t>
  </si>
  <si>
    <t>GRASA (g) [ ]</t>
  </si>
  <si>
    <t>PASOS Diarios [ ]</t>
  </si>
  <si>
    <t>SUENO (h) [ ]</t>
  </si>
  <si>
    <t>BF% Estimado
(Auto-Calculado)</t>
  </si>
  <si>
    <t>NOTAS</t>
  </si>
  <si>
    <t>Wed 25/03/2026</t>
  </si>
  <si>
    <t>Thu 26/03/2026</t>
  </si>
  <si>
    <t>Fri 27/03/2026</t>
  </si>
  <si>
    <t>Sat 28/03/2026</t>
  </si>
  <si>
    <t>?</t>
  </si>
  <si>
    <t>Res day</t>
  </si>
  <si>
    <t>Promedio  S0 Arranque</t>
  </si>
  <si>
    <t>Sun 29/03/2026</t>
  </si>
  <si>
    <t>Mon 30/03/2026</t>
  </si>
  <si>
    <t>Tue 31/03/2026</t>
  </si>
  <si>
    <t>Wed 01/04/2026</t>
  </si>
  <si>
    <t>Thu 02/04/2026</t>
  </si>
  <si>
    <t>Fri 03/04/2026</t>
  </si>
  <si>
    <t>Sat 04/04/2026</t>
  </si>
  <si>
    <t>Promedio  MC01</t>
  </si>
  <si>
    <t>Delta Peso vs Semana Anterior</t>
  </si>
  <si>
    <t>Sun 05/04/2026</t>
  </si>
  <si>
    <t>211.0</t>
  </si>
  <si>
    <t>Mon 06/04/2026</t>
  </si>
  <si>
    <t>Tue 07/04/2026</t>
  </si>
  <si>
    <t>Registro con reloj</t>
  </si>
  <si>
    <t>Wed 08/04/2026</t>
  </si>
  <si>
    <t>Cumple Laia (Comida en restaurante)</t>
  </si>
  <si>
    <t>Thu 09/04/2026</t>
  </si>
  <si>
    <t>Fri 10/04/2026</t>
  </si>
  <si>
    <t>Sat 11/04/2026</t>
  </si>
  <si>
    <t>Promedio  MC02</t>
  </si>
  <si>
    <t>Sun 12/04/2026</t>
  </si>
  <si>
    <t>Mon 13/04/2026</t>
  </si>
  <si>
    <t>Tue 14/04/2026</t>
  </si>
  <si>
    <t>Wed 15/04/2026</t>
  </si>
  <si>
    <t>Thu 16/04/2026</t>
  </si>
  <si>
    <t>Fri 17/04/2026</t>
  </si>
  <si>
    <t>Sat 18/04/2026</t>
  </si>
  <si>
    <t>Promedio  MC03</t>
  </si>
  <si>
    <t>Sun 19/04/2026</t>
  </si>
  <si>
    <t>Mon 20/04/2026</t>
  </si>
  <si>
    <t>Tue 21/04/2026</t>
  </si>
  <si>
    <t>Wed 22/04/2026</t>
  </si>
  <si>
    <t>Thu 23/04/2026</t>
  </si>
  <si>
    <t>Fri 24/04/2026</t>
  </si>
  <si>
    <t>Sat 25/04/2026</t>
  </si>
  <si>
    <t>Promedio  MC04</t>
  </si>
  <si>
    <t>Sun 26/04/2026</t>
  </si>
  <si>
    <t>Mon 27/04/2026</t>
  </si>
  <si>
    <t>Tue 28/04/2026</t>
  </si>
  <si>
    <t>Wed 29/04/2026</t>
  </si>
  <si>
    <t>Thu 30/04/2026</t>
  </si>
  <si>
    <t>Fri 01/05/2026</t>
  </si>
  <si>
    <t>Sat 02/05/2026</t>
  </si>
  <si>
    <t>Promedio  MC05</t>
  </si>
  <si>
    <t>Sun 03/05/2026</t>
  </si>
  <si>
    <t>Mon 04/05/2026</t>
  </si>
  <si>
    <t>Tue 05/05/2026</t>
  </si>
  <si>
    <t>Wed 06/05/2026</t>
  </si>
  <si>
    <t>Thu 07/05/2026</t>
  </si>
  <si>
    <t>Fri 08/05/2026</t>
  </si>
  <si>
    <t>Sat 09/05/2026</t>
  </si>
  <si>
    <t>Promedio  MC06</t>
  </si>
  <si>
    <t>Sun 10/05/2026</t>
  </si>
  <si>
    <t>Mon 11/05/2026</t>
  </si>
  <si>
    <t>Tue 12/05/2026</t>
  </si>
  <si>
    <t>Wed 13/05/2026</t>
  </si>
  <si>
    <t>Thu 14/05/2026</t>
  </si>
  <si>
    <t>Fri 15/05/2026</t>
  </si>
  <si>
    <t>Sat 16/05/2026</t>
  </si>
  <si>
    <t>Promedio  MC07</t>
  </si>
  <si>
    <t>Sun 17/05/2026</t>
  </si>
  <si>
    <t>Mon 18/05/2026</t>
  </si>
  <si>
    <t>Tue 19/05/2026</t>
  </si>
  <si>
    <t>Wed 20/05/2026</t>
  </si>
  <si>
    <t>Thu 21/05/2026</t>
  </si>
  <si>
    <t>Fri 22/05/2026</t>
  </si>
  <si>
    <t>Sat 23/05/2026</t>
  </si>
  <si>
    <t>Promedio  MC08</t>
  </si>
  <si>
    <t>DAY 1  —  DOMINGO  —  Pierna + Hombro + Core</t>
  </si>
  <si>
    <t>CALENTAMIENTO  (5-8 min)</t>
  </si>
  <si>
    <t>[ ]  Balanceos Pierna</t>
  </si>
  <si>
    <t>[ ]  Rot. Ext. Hombro</t>
  </si>
  <si>
    <t>[ ]  Band Pull-aparts</t>
  </si>
  <si>
    <t>MC</t>
  </si>
  <si>
    <t>REPS
OBJETIVO + RP</t>
  </si>
  <si>
    <t>RIR S1</t>
  </si>
  <si>
    <t xml:space="preserve">Reps S1 </t>
  </si>
  <si>
    <t xml:space="preserve">Kg S1 </t>
  </si>
  <si>
    <t>RIR S2</t>
  </si>
  <si>
    <t xml:space="preserve">Reps S2 </t>
  </si>
  <si>
    <t xml:space="preserve">Kg S2 </t>
  </si>
  <si>
    <t>RIR S3</t>
  </si>
  <si>
    <t xml:space="preserve">Reps S3 </t>
  </si>
  <si>
    <t>Kg S3</t>
  </si>
  <si>
    <t>TONELAJE
(Auto)</t>
  </si>
  <si>
    <t>COSAS A COMENTAR</t>
  </si>
  <si>
    <t>HECHO [ ]</t>
  </si>
  <si>
    <t>MICROCICLO  01</t>
  </si>
  <si>
    <t>10-12</t>
  </si>
  <si>
    <t>12-15 + DS</t>
  </si>
  <si>
    <t>15-20</t>
  </si>
  <si>
    <t>15-20 + Fallo</t>
  </si>
  <si>
    <t>TONELAJE TOTAL  MC01</t>
  </si>
  <si>
    <t>MICROCICLO  02</t>
  </si>
  <si>
    <t xml:space="preserve"> </t>
  </si>
  <si>
    <t>TONELAJE TOTAL  MC02</t>
  </si>
  <si>
    <t>MICROCICLO  03</t>
  </si>
  <si>
    <t>TONELAJE TOTAL  MC03</t>
  </si>
  <si>
    <t>MICROCICLO  04</t>
  </si>
  <si>
    <t>TONELAJE TOTAL  MC04</t>
  </si>
  <si>
    <t>MICROCICLO  05</t>
  </si>
  <si>
    <t>Fondos en maquina (pecho inferior)</t>
  </si>
  <si>
    <t>10-12 + Fallo</t>
  </si>
  <si>
    <t>Cruces de polea de alta a baja</t>
  </si>
  <si>
    <t>TONELAJE TOTAL  MC05</t>
  </si>
  <si>
    <t>MICROCICLO  06</t>
  </si>
  <si>
    <t>TONELAJE TOTAL  MC06</t>
  </si>
  <si>
    <t>MICROCICLO  07</t>
  </si>
  <si>
    <t>TONELAJE TOTAL  MC07</t>
  </si>
  <si>
    <t>MICROCICLO  08</t>
  </si>
  <si>
    <t>TONELAJE TOTAL  MC08</t>
  </si>
  <si>
    <t>REGISTRO DE CARDIO</t>
  </si>
  <si>
    <t>DESCRIPCION [ ]</t>
  </si>
  <si>
    <t>MINUTOS [ ]</t>
  </si>
  <si>
    <t>VELOCIDAD [ ]</t>
  </si>
  <si>
    <t>INCLINACION [ ]</t>
  </si>
  <si>
    <t>[ ]  Activacion Escapular</t>
  </si>
  <si>
    <t>[ ]  Face-pull Ligero</t>
  </si>
  <si>
    <t>[ ]  Circulos Hombros</t>
  </si>
  <si>
    <t>12-15 + RP</t>
  </si>
  <si>
    <t>12-15</t>
  </si>
  <si>
    <t>15-20 + DS</t>
  </si>
  <si>
    <t>10-15 + Fallo</t>
  </si>
  <si>
    <t>Remo con mancuerna unilateral</t>
  </si>
  <si>
    <t>10-12/lado + Fallo</t>
  </si>
  <si>
    <t>Hiperextensiones a 45 grados</t>
  </si>
  <si>
    <t>Pull-over en polea  |  FST-7  (7x / 30s)</t>
  </si>
  <si>
    <t>12-15 | FST-7</t>
  </si>
  <si>
    <t>DAY 3  —  MARTES  —  Pecho + Hombro + Triceps + Core</t>
  </si>
  <si>
    <t>[ ]  Movilidad Munecas</t>
  </si>
  <si>
    <t>[ ]  Rot. Manguito</t>
  </si>
  <si>
    <t>[ ]  Flexiones (Push-ups)</t>
  </si>
  <si>
    <t>Kg S1 [</t>
  </si>
  <si>
    <t xml:space="preserve">Kg S3 </t>
  </si>
  <si>
    <t>8-12</t>
  </si>
  <si>
    <t>8-12 + RP</t>
  </si>
  <si>
    <t>12-15 + Fallo</t>
  </si>
  <si>
    <t>DAY 4  —  MIERCOLES  —  Pierna Compuesta + Core</t>
  </si>
  <si>
    <t>[ ]  Sentadilla Profunda hold 3s</t>
  </si>
  <si>
    <t>[ ]  Dinamico Flexores Cadera</t>
  </si>
  <si>
    <t>[ ]  Movilidad Tobillo</t>
  </si>
  <si>
    <t>no habían mancuernas de 17,5</t>
  </si>
  <si>
    <t>peso corp</t>
  </si>
  <si>
    <t>primera aproximación</t>
  </si>
  <si>
    <t>DAY 5  —  JUEVES  —  Espalda + Biceps + Core</t>
  </si>
  <si>
    <t>10-12 + RP</t>
  </si>
  <si>
    <t>10-12 + DS</t>
  </si>
  <si>
    <t>30-60 seg</t>
  </si>
  <si>
    <t>Peso corporal</t>
  </si>
  <si>
    <t>DAY 6  —  VIERNES  —  Hombro + Pecho + Triceps + Core</t>
  </si>
  <si>
    <t>[ ]  Flexiones</t>
  </si>
  <si>
    <t>Kg S1</t>
  </si>
  <si>
    <t>Kg 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</si>
</sst>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b/>
      <sz val="14.0"/>
      <color rgb="FF1B3A6B"/>
      <name val="Arial"/>
    </font>
    <font>
      <b/>
      <sz val="10.0"/>
      <color rgb="FF1B3A6B"/>
      <name val="Arial"/>
    </font>
    <font>
      <sz val="10.0"/>
      <color rgb="FF1A1A2E"/>
      <name val="Arial"/>
    </font>
    <font>
      <b/>
      <sz val="10.0"/>
      <color rgb="FF2A549E"/>
      <name val="Arial"/>
    </font>
    <font>
      <b/>
      <sz val="11.0"/>
      <color rgb="FFFFFFFF"/>
      <name val="Arial"/>
    </font>
    <font>
      <sz val="10.0"/>
      <color rgb="FF2A549E"/>
      <name val="Arial"/>
    </font>
    <font>
      <sz val="9.0"/>
      <color rgb="FF1A1A2E"/>
      <name val="Arial"/>
    </font>
    <font>
      <b/>
      <sz val="12.0"/>
      <color rgb="FFFFFFFF"/>
      <name val="Arial"/>
    </font>
    <font>
      <color rgb="FF2A549E"/>
      <name val="Arial"/>
    </font>
    <font>
      <color theme="1"/>
      <name val="Calibri"/>
    </font>
    <font>
      <b/>
      <sz val="10.0"/>
      <color rgb="FF1B5E20"/>
      <name val="Arial"/>
    </font>
    <font>
      <sz val="10.0"/>
      <color rgb="FF555555"/>
      <name val="Arial"/>
    </font>
    <font>
      <b/>
      <sz val="9.0"/>
      <color rgb="FF7D4000"/>
      <name val="Arial"/>
    </font>
    <font>
      <sz val="10.0"/>
      <color rgb="FF777777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A549E"/>
        <bgColor rgb="FF2A549E"/>
      </patternFill>
    </fill>
    <fill>
      <patternFill patternType="solid">
        <fgColor rgb="FF3A6DB5"/>
        <bgColor rgb="FF3A6DB5"/>
      </patternFill>
    </fill>
    <fill>
      <patternFill patternType="solid">
        <fgColor rgb="FFF0F4FF"/>
        <bgColor rgb="FFF0F4FF"/>
      </patternFill>
    </fill>
    <fill>
      <patternFill patternType="solid">
        <fgColor rgb="FFDDE3EF"/>
        <bgColor rgb="FFDDE3EF"/>
      </patternFill>
    </fill>
    <fill>
      <patternFill patternType="solid">
        <fgColor rgb="FFFFFFFF"/>
        <bgColor rgb="FFFFFFFF"/>
      </patternFill>
    </fill>
    <fill>
      <patternFill patternType="solid">
        <fgColor rgb="FFEBF2FF"/>
        <bgColor rgb="FFEBF2FF"/>
      </patternFill>
    </fill>
    <fill>
      <patternFill patternType="solid">
        <fgColor rgb="FFF2F4F8"/>
        <bgColor rgb="FFF2F4F8"/>
      </patternFill>
    </fill>
    <fill>
      <patternFill patternType="solid">
        <fgColor rgb="FFF7F9FF"/>
        <bgColor rgb="FFF7F9FF"/>
      </patternFill>
    </fill>
    <fill>
      <patternFill patternType="solid">
        <fgColor rgb="FFE8F5E9"/>
        <bgColor rgb="FFE8F5E9"/>
      </patternFill>
    </fill>
    <fill>
      <patternFill patternType="solid">
        <fgColor rgb="FFFFF8E7"/>
        <bgColor rgb="FFFFF8E7"/>
      </patternFill>
    </fill>
    <fill>
      <patternFill patternType="solid">
        <fgColor rgb="FF1E4278"/>
        <bgColor rgb="FF1E4278"/>
      </patternFill>
    </fill>
    <fill>
      <patternFill patternType="solid">
        <fgColor rgb="FF224A86"/>
        <bgColor rgb="FF224A86"/>
      </patternFill>
    </fill>
    <fill>
      <patternFill patternType="solid">
        <fgColor rgb="FF254F91"/>
        <bgColor rgb="FF254F91"/>
      </patternFill>
    </fill>
    <fill>
      <patternFill patternType="solid">
        <fgColor rgb="FF28569E"/>
        <bgColor rgb="FF28569E"/>
      </patternFill>
    </fill>
    <fill>
      <patternFill patternType="solid">
        <fgColor rgb="FF2B5EAB"/>
        <bgColor rgb="FF2B5EAB"/>
      </patternFill>
    </fill>
    <fill>
      <patternFill patternType="solid">
        <fgColor rgb="FF2E66B8"/>
        <bgColor rgb="FF2E66B8"/>
      </patternFill>
    </fill>
    <fill>
      <patternFill patternType="solid">
        <fgColor rgb="FF3170C5"/>
        <bgColor rgb="FF3170C5"/>
      </patternFill>
    </fill>
  </fills>
  <borders count="6">
    <border/>
    <border>
      <left style="thin">
        <color rgb="FFB8C4D8"/>
      </left>
      <top style="thin">
        <color rgb="FFB8C4D8"/>
      </top>
      <bottom style="thin">
        <color rgb="FFB8C4D8"/>
      </bottom>
    </border>
    <border>
      <top style="thin">
        <color rgb="FFB8C4D8"/>
      </top>
      <bottom style="thin">
        <color rgb="FFB8C4D8"/>
      </bottom>
    </border>
    <border>
      <right style="thin">
        <color rgb="FFB8C4D8"/>
      </right>
      <top style="thin">
        <color rgb="FFB8C4D8"/>
      </top>
      <bottom style="thin">
        <color rgb="FFB8C4D8"/>
      </bottom>
    </border>
    <border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10" fontId="11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9" fontId="11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1" fillId="6" fontId="3" numFmtId="0" xfId="0" applyBorder="1" applyFont="1"/>
    <xf borderId="5" fillId="7" fontId="3" numFmtId="0" xfId="0" applyBorder="1" applyFont="1"/>
    <xf borderId="4" fillId="10" fontId="14" numFmtId="0" xfId="0" applyAlignment="1" applyBorder="1" applyFont="1">
      <alignment horizontal="center" shrinkToFit="0" wrapText="1"/>
    </xf>
    <xf borderId="4" fillId="7" fontId="3" numFmtId="0" xfId="0" applyBorder="1" applyFont="1"/>
    <xf borderId="4" fillId="9" fontId="14" numFmtId="0" xfId="0" applyAlignment="1" applyBorder="1" applyFont="1">
      <alignment horizontal="center" shrinkToFit="0" wrapText="1"/>
    </xf>
    <xf borderId="4" fillId="9" fontId="3" numFmtId="0" xfId="0" applyBorder="1" applyFont="1"/>
    <xf borderId="4" fillId="3" fontId="3" numFmtId="0" xfId="0" applyBorder="1" applyFont="1"/>
    <xf borderId="4" fillId="8" fontId="3" numFmtId="0" xfId="0" applyBorder="1" applyFont="1"/>
    <xf borderId="0" fillId="0" fontId="15" numFmtId="0" xfId="0" applyFont="1"/>
    <xf borderId="4" fillId="10" fontId="11" numFmtId="0" xfId="0" applyAlignment="1" applyBorder="1" applyFont="1">
      <alignment horizontal="center" readingOrder="0" shrinkToFit="0" vertical="center" wrapText="1"/>
    </xf>
    <xf borderId="4" fillId="9" fontId="11" numFmtId="0" xfId="0" applyAlignment="1" applyBorder="1" applyFont="1">
      <alignment horizontal="center" readingOrder="0" shrinkToFit="0" vertical="center" wrapText="1"/>
    </xf>
    <xf borderId="4" fillId="9" fontId="11" numFmtId="3" xfId="0" applyAlignment="1" applyBorder="1" applyFont="1" applyNumberFormat="1">
      <alignment horizontal="center" readingOrder="0" shrinkToFit="0" vertical="center" wrapText="1"/>
    </xf>
    <xf borderId="4" fillId="10" fontId="11" numFmtId="3" xfId="0" applyAlignment="1" applyBorder="1" applyFont="1" applyNumberFormat="1">
      <alignment horizontal="center" readingOrder="0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11" fontId="16" numFmtId="0" xfId="0" applyAlignment="1" applyBorder="1" applyFill="1" applyFont="1">
      <alignment horizontal="center" shrinkToFit="0" vertical="center" wrapText="1"/>
    </xf>
    <xf borderId="4" fillId="10" fontId="1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9" fontId="17" numFmtId="0" xfId="0" applyAlignment="1" applyBorder="1" applyFont="1">
      <alignment horizontal="center" shrinkToFit="0" vertical="center" wrapText="1"/>
    </xf>
    <xf borderId="4" fillId="12" fontId="18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3" numFmtId="0" xfId="0" applyBorder="1" applyFont="1"/>
    <xf borderId="1" fillId="13" fontId="5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13" fontId="4" numFmtId="0" xfId="0" applyAlignment="1" applyBorder="1" applyFont="1">
      <alignment horizontal="center" shrinkToFit="0" vertical="center" wrapText="1"/>
    </xf>
    <xf borderId="4" fillId="13" fontId="3" numFmtId="0" xfId="0" applyBorder="1" applyFont="1"/>
    <xf borderId="1" fillId="14" fontId="5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ont="1">
      <alignment horizontal="center" shrinkToFit="0" vertical="center" wrapText="1"/>
    </xf>
    <xf borderId="1" fillId="14" fontId="4" numFmtId="0" xfId="0" applyAlignment="1" applyBorder="1" applyFont="1">
      <alignment horizontal="center" shrinkToFit="0" vertical="center" wrapText="1"/>
    </xf>
    <xf borderId="4" fillId="14" fontId="3" numFmtId="0" xfId="0" applyBorder="1" applyFont="1"/>
    <xf borderId="1" fillId="15" fontId="5" numFmtId="0" xfId="0" applyAlignment="1" applyBorder="1" applyFill="1" applyFont="1">
      <alignment horizontal="center" shrinkToFit="0" vertical="center" wrapText="1"/>
    </xf>
    <xf borderId="4" fillId="15" fontId="4" numFmtId="0" xfId="0" applyAlignment="1" applyBorder="1" applyFont="1">
      <alignment horizontal="center" shrinkToFit="0" vertical="center" wrapText="1"/>
    </xf>
    <xf borderId="1" fillId="15" fontId="4" numFmtId="0" xfId="0" applyAlignment="1" applyBorder="1" applyFont="1">
      <alignment horizontal="center" shrinkToFit="0" vertical="center" wrapText="1"/>
    </xf>
    <xf borderId="4" fillId="15" fontId="3" numFmtId="0" xfId="0" applyBorder="1" applyFont="1"/>
    <xf borderId="1" fillId="16" fontId="5" numFmtId="0" xfId="0" applyAlignment="1" applyBorder="1" applyFill="1" applyFont="1">
      <alignment horizontal="center" shrinkToFit="0" vertical="center" wrapText="1"/>
    </xf>
    <xf borderId="4" fillId="16" fontId="4" numFmtId="0" xfId="0" applyAlignment="1" applyBorder="1" applyFont="1">
      <alignment horizontal="center" shrinkToFit="0" vertical="center" wrapText="1"/>
    </xf>
    <xf borderId="4" fillId="7" fontId="19" numFmtId="0" xfId="0" applyAlignment="1" applyBorder="1" applyFont="1">
      <alignment horizontal="center" shrinkToFit="0" vertical="center" wrapText="1"/>
    </xf>
    <xf borderId="4" fillId="9" fontId="19" numFmtId="0" xfId="0" applyAlignment="1" applyBorder="1" applyFont="1">
      <alignment horizontal="center" shrinkToFit="0" vertical="center" wrapText="1"/>
    </xf>
    <xf borderId="1" fillId="16" fontId="4" numFmtId="0" xfId="0" applyAlignment="1" applyBorder="1" applyFont="1">
      <alignment horizontal="center" shrinkToFit="0" vertical="center" wrapText="1"/>
    </xf>
    <xf borderId="4" fillId="16" fontId="3" numFmtId="0" xfId="0" applyBorder="1" applyFont="1"/>
    <xf borderId="1" fillId="17" fontId="5" numFmtId="0" xfId="0" applyAlignment="1" applyBorder="1" applyFill="1" applyFont="1">
      <alignment horizontal="center" shrinkToFit="0" vertical="center" wrapText="1"/>
    </xf>
    <xf borderId="4" fillId="17" fontId="4" numFmtId="0" xfId="0" applyAlignment="1" applyBorder="1" applyFont="1">
      <alignment horizontal="center" shrinkToFit="0" vertical="center" wrapText="1"/>
    </xf>
    <xf borderId="1" fillId="17" fontId="4" numFmtId="0" xfId="0" applyAlignment="1" applyBorder="1" applyFont="1">
      <alignment horizontal="center" shrinkToFit="0" vertical="center" wrapText="1"/>
    </xf>
    <xf borderId="4" fillId="17" fontId="3" numFmtId="0" xfId="0" applyBorder="1" applyFont="1"/>
    <xf borderId="1" fillId="18" fontId="5" numFmtId="0" xfId="0" applyAlignment="1" applyBorder="1" applyFill="1" applyFont="1">
      <alignment horizontal="center" shrinkToFit="0" vertical="center" wrapText="1"/>
    </xf>
    <xf borderId="4" fillId="18" fontId="4" numFmtId="0" xfId="0" applyAlignment="1" applyBorder="1" applyFont="1">
      <alignment horizontal="center" shrinkToFit="0" vertical="center" wrapText="1"/>
    </xf>
    <xf borderId="1" fillId="18" fontId="4" numFmtId="0" xfId="0" applyAlignment="1" applyBorder="1" applyFont="1">
      <alignment horizontal="center" shrinkToFit="0" vertical="center" wrapText="1"/>
    </xf>
    <xf borderId="4" fillId="18" fontId="8" numFmtId="0" xfId="0" applyAlignment="1" applyBorder="1" applyFont="1">
      <alignment horizontal="center" shrinkToFit="0" vertical="center" wrapText="1"/>
    </xf>
    <xf borderId="4" fillId="18" fontId="3" numFmtId="0" xfId="0" applyBorder="1" applyFont="1"/>
    <xf borderId="1" fillId="19" fontId="5" numFmtId="0" xfId="0" applyAlignment="1" applyBorder="1" applyFill="1" applyFont="1">
      <alignment horizontal="center" shrinkToFit="0" vertical="center" wrapText="1"/>
    </xf>
    <xf borderId="4" fillId="19" fontId="4" numFmtId="0" xfId="0" applyAlignment="1" applyBorder="1" applyFont="1">
      <alignment horizontal="center" shrinkToFit="0" vertical="center" wrapText="1"/>
    </xf>
    <xf borderId="1" fillId="19" fontId="4" numFmtId="0" xfId="0" applyAlignment="1" applyBorder="1" applyFont="1">
      <alignment horizontal="center" shrinkToFit="0" vertical="center" wrapText="1"/>
    </xf>
    <xf borderId="4" fillId="19" fontId="3" numFmtId="0" xfId="0" applyBorder="1" applyFont="1"/>
    <xf borderId="1" fillId="7" fontId="11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left" readingOrder="0" shrinkToFit="0" vertical="center" wrapText="1"/>
    </xf>
    <xf borderId="4" fillId="17" fontId="8" numFmtId="0" xfId="0" applyAlignment="1" applyBorder="1" applyFont="1">
      <alignment horizontal="center" shrinkToFit="0" vertical="center" wrapText="1"/>
    </xf>
    <xf borderId="4" fillId="12" fontId="18" numFmtId="0" xfId="0" applyAlignment="1" applyBorder="1" applyFont="1">
      <alignment horizontal="center" readingOrder="0" shrinkToFit="0" vertical="center" wrapText="1"/>
    </xf>
    <xf borderId="4" fillId="15" fontId="8" numFmtId="0" xfId="0" applyAlignment="1" applyBorder="1" applyFont="1">
      <alignment horizontal="center" shrinkToFit="0" vertical="center" wrapText="1"/>
    </xf>
    <xf borderId="4" fillId="16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Peso Corporal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DASHBOARD!$B$9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DASHBOARD!$A$10:$A$17</c:f>
            </c:strRef>
          </c:cat>
          <c:val>
            <c:numRef>
              <c:f>DASHBOARD!$B$10:$B$17</c:f>
              <c:numCache/>
            </c:numRef>
          </c:val>
          <c:smooth val="0"/>
        </c:ser>
        <c:axId val="1729134794"/>
        <c:axId val="977816368"/>
      </c:lineChart>
      <c:catAx>
        <c:axId val="1729134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7816368"/>
      </c:catAx>
      <c:valAx>
        <c:axId val="977816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91347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% Grasa Corporal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DASHBOARD!$C$9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DASHBOARD!$A$10:$A$17</c:f>
            </c:strRef>
          </c:cat>
          <c:val>
            <c:numRef>
              <c:f>DASHBOARD!$C$10:$C$17</c:f>
              <c:numCache/>
            </c:numRef>
          </c:val>
          <c:smooth val="0"/>
        </c:ser>
        <c:axId val="2124573880"/>
        <c:axId val="176333695"/>
      </c:lineChart>
      <c:catAx>
        <c:axId val="2124573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333695"/>
      </c:catAx>
      <c:valAx>
        <c:axId val="176333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2457388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1028700</xdr:colOff>
      <xdr:row>9</xdr:row>
      <xdr:rowOff>95250</xdr:rowOff>
    </xdr:from>
    <xdr:ext cx="61150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10</xdr:row>
      <xdr:rowOff>0</xdr:rowOff>
    </xdr:from>
    <xdr:ext cx="6115050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6.0"/>
    <col customWidth="1" min="3" max="18" width="21.0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3</v>
      </c>
      <c r="B5" s="2"/>
      <c r="C5" s="3"/>
      <c r="D5" s="5" t="s">
        <v>4</v>
      </c>
      <c r="E5" s="2"/>
      <c r="F5" s="3"/>
      <c r="G5" s="5" t="s">
        <v>5</v>
      </c>
      <c r="H5" s="2"/>
      <c r="I5" s="3"/>
      <c r="J5" s="5" t="s">
        <v>6</v>
      </c>
      <c r="K5" s="2"/>
      <c r="L5" s="3"/>
      <c r="M5" s="5" t="s">
        <v>7</v>
      </c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7" t="s">
        <v>8</v>
      </c>
      <c r="B6" s="2"/>
      <c r="C6" s="3"/>
      <c r="D6" s="7" t="s">
        <v>9</v>
      </c>
      <c r="E6" s="2"/>
      <c r="F6" s="3"/>
      <c r="G6" s="7" t="s">
        <v>10</v>
      </c>
      <c r="H6" s="2"/>
      <c r="I6" s="3"/>
      <c r="J6" s="7" t="s">
        <v>11</v>
      </c>
      <c r="K6" s="2"/>
      <c r="L6" s="3"/>
      <c r="M6" s="7" t="s">
        <v>12</v>
      </c>
      <c r="N6" s="2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8" t="s">
        <v>13</v>
      </c>
      <c r="B8" s="2"/>
      <c r="C8" s="2"/>
      <c r="D8" s="2"/>
      <c r="E8" s="2"/>
      <c r="F8" s="2"/>
      <c r="G8" s="2"/>
      <c r="H8" s="2"/>
      <c r="I8" s="3"/>
      <c r="J8" s="8" t="s">
        <v>14</v>
      </c>
      <c r="K8" s="2"/>
      <c r="L8" s="2"/>
      <c r="M8" s="2"/>
      <c r="N8" s="2"/>
      <c r="O8" s="2"/>
      <c r="P8" s="2"/>
      <c r="Q8" s="2"/>
      <c r="R8" s="3"/>
      <c r="S8" s="4"/>
      <c r="T8" s="4"/>
      <c r="U8" s="4"/>
      <c r="V8" s="4"/>
      <c r="W8" s="4"/>
      <c r="X8" s="4"/>
      <c r="Y8" s="4"/>
      <c r="Z8" s="4"/>
    </row>
    <row r="9" ht="15.75" customHeight="1">
      <c r="A9" s="9" t="s">
        <v>15</v>
      </c>
      <c r="B9" s="9" t="s">
        <v>16</v>
      </c>
      <c r="C9" s="9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18</v>
      </c>
      <c r="B10" s="11">
        <f>IF(TRACKER!B20="","",TRACKER!B20)</f>
        <v>52.84285714</v>
      </c>
      <c r="C10" s="12">
        <f>IF(TRACKER!B20="","",ROUND(TRACKER!$D$4-((TRACKER!$B$4-TRACKER!B20)/TRACKER!$B$4)*100,1))</f>
        <v>10.4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19</v>
      </c>
      <c r="B11" s="11">
        <f>IF(TRACKER!B30="","",TRACKER!B30)</f>
        <v>53.15714286</v>
      </c>
      <c r="C11" s="12">
        <f>IF(TRACKER!B30="","",ROUND(TRACKER!$D$4-((TRACKER!$B$4-TRACKER!B30)/TRACKER!$B$4)*100,1))</f>
        <v>11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20</v>
      </c>
      <c r="B12" s="11">
        <f>IF(TRACKER!B40="","",TRACKER!B40)</f>
        <v>52.98571429</v>
      </c>
      <c r="C12" s="12">
        <f>IF(TRACKER!B40="","",ROUND(TRACKER!$D$4-((TRACKER!$B$4-TRACKER!B40)/TRACKER!$B$4)*100,1))</f>
        <v>10.7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21</v>
      </c>
      <c r="B13" s="11">
        <f>IF(TRACKER!B50="","",TRACKER!B50)</f>
        <v>53.16666667</v>
      </c>
      <c r="C13" s="12">
        <f>IF(TRACKER!B50="","",ROUND(TRACKER!$D$4-((TRACKER!$B$4-TRACKER!B50)/TRACKER!$B$4)*100,1))</f>
        <v>11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22</v>
      </c>
      <c r="B14" s="11" t="str">
        <f>IF(TRACKER!B60="","",TRACKER!B60)</f>
        <v/>
      </c>
      <c r="C14" s="12" t="str">
        <f>IF(TRACKER!B60="","",ROUND(TRACKER!$D$4-((TRACKER!$B$4-TRACKER!B60)/TRACKER!$B$4)*100,1))</f>
        <v/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 t="s">
        <v>23</v>
      </c>
      <c r="B15" s="11" t="str">
        <f>IF(TRACKER!B70="","",TRACKER!B70)</f>
        <v/>
      </c>
      <c r="C15" s="12" t="str">
        <f>IF(TRACKER!B70="","",ROUND(TRACKER!$D$4-((TRACKER!$B$4-TRACKER!B70)/TRACKER!$B$4)*100,1))</f>
        <v/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24</v>
      </c>
      <c r="B16" s="11" t="str">
        <f>IF(TRACKER!B80="","",TRACKER!B80)</f>
        <v/>
      </c>
      <c r="C16" s="12" t="str">
        <f>IF(TRACKER!B80="","",ROUND(TRACKER!$D$4-((TRACKER!$B$4-TRACKER!B80)/TRACKER!$B$4)*100,1))</f>
        <v/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 t="s">
        <v>25</v>
      </c>
      <c r="B17" s="11" t="str">
        <f>IF(TRACKER!B90="","",TRACKER!B90)</f>
        <v/>
      </c>
      <c r="C17" s="12" t="str">
        <f>IF(TRACKER!B90="","",ROUND(TRACKER!$D$4-((TRACKER!$B$4-TRACKER!B90)/TRACKER!$B$4)*100,1))</f>
        <v/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14" t="s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  <c r="T30" s="4"/>
      <c r="U30" s="4"/>
      <c r="V30" s="4"/>
      <c r="W30" s="4"/>
      <c r="X30" s="4"/>
      <c r="Y30" s="4"/>
      <c r="Z30" s="4"/>
    </row>
    <row r="31" ht="33.75" customHeight="1">
      <c r="A31" s="15" t="s">
        <v>27</v>
      </c>
      <c r="B31" s="15" t="s">
        <v>28</v>
      </c>
      <c r="C31" s="16" t="s">
        <v>29</v>
      </c>
      <c r="D31" s="16" t="s">
        <v>30</v>
      </c>
      <c r="E31" s="16" t="s">
        <v>31</v>
      </c>
      <c r="F31" s="16" t="s">
        <v>32</v>
      </c>
      <c r="G31" s="16" t="s">
        <v>33</v>
      </c>
      <c r="H31" s="16" t="s">
        <v>34</v>
      </c>
      <c r="I31" s="16" t="s">
        <v>35</v>
      </c>
      <c r="J31" s="16" t="s">
        <v>36</v>
      </c>
      <c r="K31" s="16" t="s">
        <v>37</v>
      </c>
      <c r="L31" s="16" t="s">
        <v>38</v>
      </c>
      <c r="M31" s="16" t="s">
        <v>39</v>
      </c>
      <c r="N31" s="16" t="s">
        <v>40</v>
      </c>
      <c r="O31" s="16" t="s">
        <v>41</v>
      </c>
      <c r="P31" s="16" t="s">
        <v>42</v>
      </c>
      <c r="Q31" s="16" t="s">
        <v>43</v>
      </c>
      <c r="R31" s="16" t="s">
        <v>44</v>
      </c>
      <c r="S31" s="4"/>
      <c r="T31" s="4"/>
      <c r="U31" s="4"/>
      <c r="V31" s="4"/>
      <c r="W31" s="4"/>
      <c r="X31" s="4"/>
      <c r="Y31" s="4"/>
      <c r="Z31" s="4"/>
    </row>
    <row r="32" ht="18.0" customHeight="1">
      <c r="A32" s="17" t="s">
        <v>45</v>
      </c>
      <c r="B32" s="18" t="s">
        <v>46</v>
      </c>
      <c r="C32" s="19">
        <f>'DAY 1'!M6</f>
        <v>0</v>
      </c>
      <c r="D32" s="20" t="s">
        <v>47</v>
      </c>
      <c r="E32" s="19">
        <f>'DAY 1'!M16</f>
        <v>540</v>
      </c>
      <c r="F32" s="20" t="str">
        <f t="shared" ref="F32:F78" si="1">IF(OR(E32=0,C32=0),"—",IF(E32&gt;C32,"RENDIMIENTO SUPERIOR",IF(E32=C32,"MANTENIMIENTO","DEFICIT")))</f>
        <v>—</v>
      </c>
      <c r="G32" s="19">
        <f>'DAY 1'!M26</f>
        <v>540</v>
      </c>
      <c r="H32" s="20" t="str">
        <f t="shared" ref="H32:H78" si="2">IF(OR(G32=0,E32=0),"—",IF(G32&gt;E32,"RENDIMIENTO SUPERIOR",IF(G32=E32,"MANTENIMIENTO","DEFICIT")))</f>
        <v>MANTENIMIENTO</v>
      </c>
      <c r="I32" s="19">
        <f>'DAY 1'!M36</f>
        <v>540</v>
      </c>
      <c r="J32" s="20" t="str">
        <f t="shared" ref="J32:J78" si="3">IF(OR(I32=0,G32=0),"—",IF(I32&gt;G32,"RENDIMIENTO SUPERIOR",IF(I32=G32,"MANTENIMIENTO","DEFICIT")))</f>
        <v>MANTENIMIENTO</v>
      </c>
      <c r="K32" s="19">
        <f>'DAY 1'!M46</f>
        <v>540</v>
      </c>
      <c r="L32" s="20" t="str">
        <f t="shared" ref="L32:L78" si="4">IF(OR(K32=0,I32=0),"—",IF(K32&gt;I32,"RENDIMIENTO SUPERIOR",IF(K32=I32,"MANTENIMIENTO","DEFICIT")))</f>
        <v>MANTENIMIENTO</v>
      </c>
      <c r="M32" s="19" t="str">
        <f>'DAY 1'!M56</f>
        <v/>
      </c>
      <c r="N32" s="20" t="str">
        <f t="shared" ref="N32:N78" si="5">IF(OR(M32=0,K32=0),"—",IF(M32&gt;K32,"RENDIMIENTO SUPERIOR",IF(M32=K32,"MANTENIMIENTO","DEFICIT")))</f>
        <v>—</v>
      </c>
      <c r="O32" s="19" t="str">
        <f>'DAY 1'!M66</f>
        <v/>
      </c>
      <c r="P32" s="20" t="str">
        <f t="shared" ref="P32:P78" si="6">IF(OR(O32=0,M32=0),"—",IF(O32&gt;M32,"RENDIMIENTO SUPERIOR",IF(O32=M32,"MANTENIMIENTO","DEFICIT")))</f>
        <v>—</v>
      </c>
      <c r="Q32" s="19">
        <f>'DAY 1'!M76</f>
        <v>0</v>
      </c>
      <c r="R32" s="20" t="str">
        <f t="shared" ref="R32:R78" si="7">IF(OR(Q32=0,O32=0),"—",IF(Q32&gt;O32,"RENDIMIENTO SUPERIOR",IF(Q32=O32,"MANTENIMIENTO","DEFICIT")))</f>
        <v>—</v>
      </c>
      <c r="S32" s="4"/>
      <c r="T32" s="4"/>
      <c r="U32" s="4"/>
      <c r="V32" s="4"/>
      <c r="W32" s="4"/>
      <c r="X32" s="4"/>
      <c r="Y32" s="4"/>
      <c r="Z32" s="4"/>
    </row>
    <row r="33" ht="18.0" customHeight="1">
      <c r="A33" s="21" t="s">
        <v>45</v>
      </c>
      <c r="B33" s="22" t="s">
        <v>48</v>
      </c>
      <c r="C33" s="23">
        <f>'DAY 1'!M7</f>
        <v>0</v>
      </c>
      <c r="D33" s="24" t="s">
        <v>47</v>
      </c>
      <c r="E33" s="23">
        <f>'DAY 1'!M17</f>
        <v>1620</v>
      </c>
      <c r="F33" s="24" t="str">
        <f t="shared" si="1"/>
        <v>—</v>
      </c>
      <c r="G33" s="23">
        <f>'DAY 1'!M27</f>
        <v>2127.5</v>
      </c>
      <c r="H33" s="24" t="str">
        <f t="shared" si="2"/>
        <v>RENDIMIENTO SUPERIOR</v>
      </c>
      <c r="I33" s="23">
        <f>'DAY 1'!M37</f>
        <v>2130</v>
      </c>
      <c r="J33" s="24" t="str">
        <f t="shared" si="3"/>
        <v>RENDIMIENTO SUPERIOR</v>
      </c>
      <c r="K33" s="23">
        <f>'DAY 1'!M47</f>
        <v>2190</v>
      </c>
      <c r="L33" s="24" t="str">
        <f t="shared" si="4"/>
        <v>RENDIMIENTO SUPERIOR</v>
      </c>
      <c r="M33" s="23">
        <f>'DAY 1'!M57</f>
        <v>0</v>
      </c>
      <c r="N33" s="24" t="str">
        <f t="shared" si="5"/>
        <v>—</v>
      </c>
      <c r="O33" s="23" t="str">
        <f>'DAY 1'!M67</f>
        <v/>
      </c>
      <c r="P33" s="24" t="str">
        <f t="shared" si="6"/>
        <v>—</v>
      </c>
      <c r="Q33" s="23" t="str">
        <f>'DAY 1'!M77</f>
        <v/>
      </c>
      <c r="R33" s="24" t="str">
        <f t="shared" si="7"/>
        <v>—</v>
      </c>
      <c r="S33" s="4"/>
      <c r="T33" s="4"/>
      <c r="U33" s="4"/>
      <c r="V33" s="4"/>
      <c r="W33" s="4"/>
      <c r="X33" s="4"/>
      <c r="Y33" s="4"/>
      <c r="Z33" s="4"/>
    </row>
    <row r="34" ht="18.0" customHeight="1">
      <c r="A34" s="17" t="s">
        <v>45</v>
      </c>
      <c r="B34" s="18" t="s">
        <v>49</v>
      </c>
      <c r="C34" s="19">
        <f>'DAY 1'!M8</f>
        <v>0</v>
      </c>
      <c r="D34" s="20" t="s">
        <v>47</v>
      </c>
      <c r="E34" s="19">
        <f>'DAY 1'!M18</f>
        <v>675</v>
      </c>
      <c r="F34" s="20" t="str">
        <f t="shared" si="1"/>
        <v>—</v>
      </c>
      <c r="G34" s="19">
        <f>'DAY 1'!M28</f>
        <v>675</v>
      </c>
      <c r="H34" s="20" t="str">
        <f t="shared" si="2"/>
        <v>MANTENIMIENTO</v>
      </c>
      <c r="I34" s="19">
        <f>'DAY 1'!M38</f>
        <v>675</v>
      </c>
      <c r="J34" s="20" t="str">
        <f t="shared" si="3"/>
        <v>MANTENIMIENTO</v>
      </c>
      <c r="K34" s="19">
        <f>'DAY 1'!M48</f>
        <v>1050</v>
      </c>
      <c r="L34" s="20" t="str">
        <f t="shared" si="4"/>
        <v>RENDIMIENTO SUPERIOR</v>
      </c>
      <c r="M34" s="19">
        <f>'DAY 1'!M58</f>
        <v>0</v>
      </c>
      <c r="N34" s="20" t="str">
        <f t="shared" si="5"/>
        <v>—</v>
      </c>
      <c r="O34" s="19">
        <f>'DAY 1'!M68</f>
        <v>0</v>
      </c>
      <c r="P34" s="20" t="str">
        <f t="shared" si="6"/>
        <v>—</v>
      </c>
      <c r="Q34" s="19" t="str">
        <f>'DAY 1'!M78</f>
        <v/>
      </c>
      <c r="R34" s="20" t="str">
        <f t="shared" si="7"/>
        <v>—</v>
      </c>
      <c r="S34" s="4"/>
      <c r="T34" s="4"/>
      <c r="U34" s="4"/>
      <c r="V34" s="4"/>
      <c r="W34" s="4"/>
      <c r="X34" s="4"/>
      <c r="Y34" s="4"/>
      <c r="Z34" s="4"/>
    </row>
    <row r="35" ht="18.0" customHeight="1">
      <c r="A35" s="21" t="s">
        <v>45</v>
      </c>
      <c r="B35" s="22" t="s">
        <v>50</v>
      </c>
      <c r="C35" s="23">
        <f>'DAY 1'!M9</f>
        <v>0</v>
      </c>
      <c r="D35" s="24" t="s">
        <v>47</v>
      </c>
      <c r="E35" s="23">
        <f>'DAY 1'!M19</f>
        <v>360</v>
      </c>
      <c r="F35" s="24" t="str">
        <f t="shared" si="1"/>
        <v>—</v>
      </c>
      <c r="G35" s="23">
        <f>'DAY 1'!M29</f>
        <v>450</v>
      </c>
      <c r="H35" s="24" t="str">
        <f t="shared" si="2"/>
        <v>RENDIMIENTO SUPERIOR</v>
      </c>
      <c r="I35" s="23">
        <f>'DAY 1'!M39</f>
        <v>450</v>
      </c>
      <c r="J35" s="24" t="str">
        <f t="shared" si="3"/>
        <v>MANTENIMIENTO</v>
      </c>
      <c r="K35" s="23">
        <f>'DAY 1'!M49</f>
        <v>450</v>
      </c>
      <c r="L35" s="24" t="str">
        <f t="shared" si="4"/>
        <v>MANTENIMIENTO</v>
      </c>
      <c r="M35" s="23">
        <f>'DAY 1'!M59</f>
        <v>0</v>
      </c>
      <c r="N35" s="24" t="str">
        <f t="shared" si="5"/>
        <v>—</v>
      </c>
      <c r="O35" s="23">
        <f>'DAY 1'!M69</f>
        <v>0</v>
      </c>
      <c r="P35" s="24" t="str">
        <f t="shared" si="6"/>
        <v>—</v>
      </c>
      <c r="Q35" s="23">
        <f>'DAY 1'!M79</f>
        <v>0</v>
      </c>
      <c r="R35" s="24" t="str">
        <f t="shared" si="7"/>
        <v>—</v>
      </c>
      <c r="S35" s="4"/>
      <c r="T35" s="4"/>
      <c r="U35" s="4"/>
      <c r="V35" s="4"/>
      <c r="W35" s="4"/>
      <c r="X35" s="4"/>
      <c r="Y35" s="4"/>
      <c r="Z35" s="4"/>
    </row>
    <row r="36" ht="18.0" customHeight="1">
      <c r="A36" s="17" t="s">
        <v>45</v>
      </c>
      <c r="B36" s="18" t="s">
        <v>51</v>
      </c>
      <c r="C36" s="19">
        <f>'DAY 1'!M10</f>
        <v>0</v>
      </c>
      <c r="D36" s="20" t="s">
        <v>47</v>
      </c>
      <c r="E36" s="19">
        <f>'DAY 1'!M20</f>
        <v>517.5</v>
      </c>
      <c r="F36" s="20" t="str">
        <f t="shared" si="1"/>
        <v>—</v>
      </c>
      <c r="G36" s="19">
        <f>'DAY 1'!M30</f>
        <v>622.5</v>
      </c>
      <c r="H36" s="20" t="str">
        <f t="shared" si="2"/>
        <v>RENDIMIENTO SUPERIOR</v>
      </c>
      <c r="I36" s="19">
        <f>'DAY 1'!M40</f>
        <v>517.5</v>
      </c>
      <c r="J36" s="20" t="str">
        <f t="shared" si="3"/>
        <v>DEFICIT</v>
      </c>
      <c r="K36" s="19">
        <f>'DAY 1'!M50</f>
        <v>540</v>
      </c>
      <c r="L36" s="20" t="str">
        <f t="shared" si="4"/>
        <v>RENDIMIENTO SUPERIOR</v>
      </c>
      <c r="M36" s="19">
        <f>'DAY 1'!M60</f>
        <v>0</v>
      </c>
      <c r="N36" s="20" t="str">
        <f t="shared" si="5"/>
        <v>—</v>
      </c>
      <c r="O36" s="19">
        <f>'DAY 1'!M70</f>
        <v>0</v>
      </c>
      <c r="P36" s="20" t="str">
        <f t="shared" si="6"/>
        <v>—</v>
      </c>
      <c r="Q36" s="19">
        <f>'DAY 1'!M80</f>
        <v>0</v>
      </c>
      <c r="R36" s="20" t="str">
        <f t="shared" si="7"/>
        <v>—</v>
      </c>
      <c r="S36" s="4"/>
      <c r="T36" s="4"/>
      <c r="U36" s="4"/>
      <c r="V36" s="4"/>
      <c r="W36" s="4"/>
      <c r="X36" s="4"/>
      <c r="Y36" s="4"/>
      <c r="Z36" s="4"/>
    </row>
    <row r="37" ht="18.0" customHeight="1">
      <c r="A37" s="21" t="s">
        <v>45</v>
      </c>
      <c r="B37" s="22" t="s">
        <v>52</v>
      </c>
      <c r="C37" s="23">
        <f>'DAY 1'!M11</f>
        <v>0</v>
      </c>
      <c r="D37" s="24" t="s">
        <v>47</v>
      </c>
      <c r="E37" s="23">
        <f>'DAY 1'!M21</f>
        <v>675</v>
      </c>
      <c r="F37" s="24" t="str">
        <f t="shared" si="1"/>
        <v>—</v>
      </c>
      <c r="G37" s="23">
        <f>'DAY 1'!M31</f>
        <v>677.5</v>
      </c>
      <c r="H37" s="24" t="str">
        <f t="shared" si="2"/>
        <v>RENDIMIENTO SUPERIOR</v>
      </c>
      <c r="I37" s="23">
        <f>'DAY 1'!M41</f>
        <v>750</v>
      </c>
      <c r="J37" s="24" t="str">
        <f t="shared" si="3"/>
        <v>RENDIMIENTO SUPERIOR</v>
      </c>
      <c r="K37" s="23">
        <f>'DAY 1'!M51</f>
        <v>2475</v>
      </c>
      <c r="L37" s="24" t="str">
        <f t="shared" si="4"/>
        <v>RENDIMIENTO SUPERIOR</v>
      </c>
      <c r="M37" s="23">
        <f>'DAY 1'!M61</f>
        <v>0</v>
      </c>
      <c r="N37" s="24" t="str">
        <f t="shared" si="5"/>
        <v>—</v>
      </c>
      <c r="O37" s="23">
        <f>'DAY 1'!M71</f>
        <v>0</v>
      </c>
      <c r="P37" s="24" t="str">
        <f t="shared" si="6"/>
        <v>—</v>
      </c>
      <c r="Q37" s="23">
        <f>'DAY 1'!M81</f>
        <v>0</v>
      </c>
      <c r="R37" s="24" t="str">
        <f t="shared" si="7"/>
        <v>—</v>
      </c>
      <c r="S37" s="4"/>
      <c r="T37" s="4"/>
      <c r="U37" s="4"/>
      <c r="V37" s="4"/>
      <c r="W37" s="4"/>
      <c r="X37" s="4"/>
      <c r="Y37" s="4"/>
      <c r="Z37" s="4"/>
    </row>
    <row r="38" ht="18.0" customHeight="1">
      <c r="A38" s="17" t="s">
        <v>45</v>
      </c>
      <c r="B38" s="18" t="s">
        <v>53</v>
      </c>
      <c r="C38" s="19">
        <f>'DAY 1'!M12</f>
        <v>0</v>
      </c>
      <c r="D38" s="20" t="s">
        <v>47</v>
      </c>
      <c r="E38" s="19">
        <f>'DAY 1'!M22</f>
        <v>2932.5</v>
      </c>
      <c r="F38" s="20" t="str">
        <f t="shared" si="1"/>
        <v>—</v>
      </c>
      <c r="G38" s="19">
        <f>'DAY 1'!M32</f>
        <v>2645</v>
      </c>
      <c r="H38" s="20" t="str">
        <f t="shared" si="2"/>
        <v>DEFICIT</v>
      </c>
      <c r="I38" s="19">
        <f>'DAY 1'!M42</f>
        <v>2760</v>
      </c>
      <c r="J38" s="20" t="str">
        <f t="shared" si="3"/>
        <v>RENDIMIENTO SUPERIOR</v>
      </c>
      <c r="K38" s="19">
        <f>'DAY 1'!M52</f>
        <v>900</v>
      </c>
      <c r="L38" s="20" t="str">
        <f t="shared" si="4"/>
        <v>DEFICIT</v>
      </c>
      <c r="M38" s="19">
        <f>'DAY 1'!M62</f>
        <v>0</v>
      </c>
      <c r="N38" s="20" t="str">
        <f t="shared" si="5"/>
        <v>—</v>
      </c>
      <c r="O38" s="19">
        <f>'DAY 1'!M72</f>
        <v>0</v>
      </c>
      <c r="P38" s="20" t="str">
        <f t="shared" si="6"/>
        <v>—</v>
      </c>
      <c r="Q38" s="19">
        <f>'DAY 1'!M82</f>
        <v>0</v>
      </c>
      <c r="R38" s="20" t="str">
        <f t="shared" si="7"/>
        <v>—</v>
      </c>
      <c r="S38" s="4"/>
      <c r="T38" s="4"/>
      <c r="U38" s="4"/>
      <c r="V38" s="4"/>
      <c r="W38" s="4"/>
      <c r="X38" s="4"/>
      <c r="Y38" s="4"/>
      <c r="Z38" s="4"/>
    </row>
    <row r="39" ht="18.0" customHeight="1">
      <c r="A39" s="21" t="s">
        <v>54</v>
      </c>
      <c r="B39" s="22" t="s">
        <v>55</v>
      </c>
      <c r="C39" s="23">
        <f>'DAY 2'!M6</f>
        <v>0</v>
      </c>
      <c r="D39" s="24" t="s">
        <v>47</v>
      </c>
      <c r="E39" s="23">
        <f>'DAY 2'!M16</f>
        <v>2340</v>
      </c>
      <c r="F39" s="24" t="str">
        <f t="shared" si="1"/>
        <v>—</v>
      </c>
      <c r="G39" s="23">
        <f>'DAY 2'!M26</f>
        <v>2100</v>
      </c>
      <c r="H39" s="24" t="str">
        <f t="shared" si="2"/>
        <v>DEFICIT</v>
      </c>
      <c r="I39" s="23">
        <f>'DAY 2'!M36</f>
        <v>2450</v>
      </c>
      <c r="J39" s="24" t="str">
        <f t="shared" si="3"/>
        <v>RENDIMIENTO SUPERIOR</v>
      </c>
      <c r="K39" s="23">
        <f>'DAY 2'!M46</f>
        <v>0</v>
      </c>
      <c r="L39" s="24" t="str">
        <f t="shared" si="4"/>
        <v>—</v>
      </c>
      <c r="M39" s="23" t="str">
        <f>'DAY 2'!M56</f>
        <v/>
      </c>
      <c r="N39" s="24" t="str">
        <f t="shared" si="5"/>
        <v>—</v>
      </c>
      <c r="O39" s="23">
        <f>'DAY 2'!M66</f>
        <v>0</v>
      </c>
      <c r="P39" s="24" t="str">
        <f t="shared" si="6"/>
        <v>—</v>
      </c>
      <c r="Q39" s="23">
        <f>'DAY 2'!M76</f>
        <v>0</v>
      </c>
      <c r="R39" s="24" t="str">
        <f t="shared" si="7"/>
        <v>—</v>
      </c>
      <c r="S39" s="4"/>
      <c r="T39" s="4"/>
      <c r="U39" s="4"/>
      <c r="V39" s="4"/>
      <c r="W39" s="4"/>
      <c r="X39" s="4"/>
      <c r="Y39" s="4"/>
      <c r="Z39" s="4"/>
    </row>
    <row r="40" ht="18.0" customHeight="1">
      <c r="A40" s="17" t="s">
        <v>54</v>
      </c>
      <c r="B40" s="18" t="s">
        <v>56</v>
      </c>
      <c r="C40" s="19">
        <f>'DAY 2'!M7</f>
        <v>0</v>
      </c>
      <c r="D40" s="20" t="s">
        <v>47</v>
      </c>
      <c r="E40" s="19">
        <f>'DAY 2'!M17</f>
        <v>1800</v>
      </c>
      <c r="F40" s="20" t="str">
        <f t="shared" si="1"/>
        <v>—</v>
      </c>
      <c r="G40" s="19">
        <f>'DAY 2'!M27</f>
        <v>1860</v>
      </c>
      <c r="H40" s="20" t="str">
        <f t="shared" si="2"/>
        <v>RENDIMIENTO SUPERIOR</v>
      </c>
      <c r="I40" s="19">
        <f>'DAY 2'!M37</f>
        <v>2400</v>
      </c>
      <c r="J40" s="20" t="str">
        <f t="shared" si="3"/>
        <v>RENDIMIENTO SUPERIOR</v>
      </c>
      <c r="K40" s="19">
        <f>'DAY 2'!M47</f>
        <v>0</v>
      </c>
      <c r="L40" s="20" t="str">
        <f t="shared" si="4"/>
        <v>—</v>
      </c>
      <c r="M40" s="19" t="str">
        <f>'DAY 2'!M57</f>
        <v/>
      </c>
      <c r="N40" s="20" t="str">
        <f t="shared" si="5"/>
        <v>—</v>
      </c>
      <c r="O40" s="19">
        <f>'DAY 2'!M67</f>
        <v>0</v>
      </c>
      <c r="P40" s="20" t="str">
        <f t="shared" si="6"/>
        <v>—</v>
      </c>
      <c r="Q40" s="19">
        <f>'DAY 2'!M77</f>
        <v>0</v>
      </c>
      <c r="R40" s="20" t="str">
        <f t="shared" si="7"/>
        <v>—</v>
      </c>
      <c r="S40" s="4"/>
      <c r="T40" s="4"/>
      <c r="U40" s="4"/>
      <c r="V40" s="4"/>
      <c r="W40" s="4"/>
      <c r="X40" s="4"/>
      <c r="Y40" s="4"/>
      <c r="Z40" s="4"/>
    </row>
    <row r="41" ht="18.0" customHeight="1">
      <c r="A41" s="21" t="s">
        <v>54</v>
      </c>
      <c r="B41" s="22" t="s">
        <v>57</v>
      </c>
      <c r="C41" s="23">
        <f>'DAY 2'!M8</f>
        <v>0</v>
      </c>
      <c r="D41" s="24" t="s">
        <v>47</v>
      </c>
      <c r="E41" s="23">
        <f>'DAY 2'!M18</f>
        <v>2200</v>
      </c>
      <c r="F41" s="24" t="str">
        <f t="shared" si="1"/>
        <v>—</v>
      </c>
      <c r="G41" s="23">
        <f>'DAY 2'!M28</f>
        <v>2640</v>
      </c>
      <c r="H41" s="24" t="str">
        <f t="shared" si="2"/>
        <v>RENDIMIENTO SUPERIOR</v>
      </c>
      <c r="I41" s="23">
        <f>'DAY 2'!M38</f>
        <v>2880</v>
      </c>
      <c r="J41" s="24" t="str">
        <f t="shared" si="3"/>
        <v>RENDIMIENTO SUPERIOR</v>
      </c>
      <c r="K41" s="23">
        <f>'DAY 2'!M48</f>
        <v>0</v>
      </c>
      <c r="L41" s="24" t="str">
        <f t="shared" si="4"/>
        <v>—</v>
      </c>
      <c r="M41" s="23">
        <f>'DAY 2'!M58</f>
        <v>0</v>
      </c>
      <c r="N41" s="24" t="str">
        <f t="shared" si="5"/>
        <v>—</v>
      </c>
      <c r="O41" s="23" t="str">
        <f>'DAY 2'!M68</f>
        <v/>
      </c>
      <c r="P41" s="24" t="str">
        <f t="shared" si="6"/>
        <v>—</v>
      </c>
      <c r="Q41" s="23">
        <f>'DAY 2'!M78</f>
        <v>0</v>
      </c>
      <c r="R41" s="24" t="str">
        <f t="shared" si="7"/>
        <v>—</v>
      </c>
      <c r="S41" s="4"/>
      <c r="T41" s="4"/>
      <c r="U41" s="4"/>
      <c r="V41" s="4"/>
      <c r="W41" s="4"/>
      <c r="X41" s="4"/>
      <c r="Y41" s="4"/>
      <c r="Z41" s="4"/>
    </row>
    <row r="42" ht="18.0" customHeight="1">
      <c r="A42" s="17" t="s">
        <v>54</v>
      </c>
      <c r="B42" s="18" t="s">
        <v>58</v>
      </c>
      <c r="C42" s="19">
        <f>'DAY 2'!M9</f>
        <v>0</v>
      </c>
      <c r="D42" s="20" t="s">
        <v>47</v>
      </c>
      <c r="E42" s="19">
        <f>'DAY 2'!M19</f>
        <v>1080</v>
      </c>
      <c r="F42" s="20" t="str">
        <f t="shared" si="1"/>
        <v>—</v>
      </c>
      <c r="G42" s="19">
        <f>'DAY 2'!M29</f>
        <v>1105</v>
      </c>
      <c r="H42" s="20" t="str">
        <f t="shared" si="2"/>
        <v>RENDIMIENTO SUPERIOR</v>
      </c>
      <c r="I42" s="19">
        <f>'DAY 2'!M39</f>
        <v>1080</v>
      </c>
      <c r="J42" s="20" t="str">
        <f t="shared" si="3"/>
        <v>DEFICIT</v>
      </c>
      <c r="K42" s="19">
        <f>'DAY 2'!M49</f>
        <v>0</v>
      </c>
      <c r="L42" s="20" t="str">
        <f t="shared" si="4"/>
        <v>—</v>
      </c>
      <c r="M42" s="19">
        <f>'DAY 2'!M59</f>
        <v>0</v>
      </c>
      <c r="N42" s="20" t="str">
        <f t="shared" si="5"/>
        <v>—</v>
      </c>
      <c r="O42" s="19" t="str">
        <f>'DAY 2'!M69</f>
        <v/>
      </c>
      <c r="P42" s="20" t="str">
        <f t="shared" si="6"/>
        <v>—</v>
      </c>
      <c r="Q42" s="19">
        <f>'DAY 2'!M79</f>
        <v>0</v>
      </c>
      <c r="R42" s="20" t="str">
        <f t="shared" si="7"/>
        <v>—</v>
      </c>
      <c r="S42" s="4"/>
      <c r="T42" s="4"/>
      <c r="U42" s="4"/>
      <c r="V42" s="4"/>
      <c r="W42" s="4"/>
      <c r="X42" s="4"/>
      <c r="Y42" s="4"/>
      <c r="Z42" s="4"/>
    </row>
    <row r="43" ht="18.0" customHeight="1">
      <c r="A43" s="21" t="s">
        <v>54</v>
      </c>
      <c r="B43" s="22" t="s">
        <v>59</v>
      </c>
      <c r="C43" s="23">
        <f>'DAY 2'!M10</f>
        <v>0</v>
      </c>
      <c r="D43" s="24" t="s">
        <v>47</v>
      </c>
      <c r="E43" s="23">
        <f>'DAY 2'!M20</f>
        <v>1050</v>
      </c>
      <c r="F43" s="24" t="str">
        <f t="shared" si="1"/>
        <v>—</v>
      </c>
      <c r="G43" s="23">
        <f>'DAY 2'!M30</f>
        <v>1260</v>
      </c>
      <c r="H43" s="24" t="str">
        <f t="shared" si="2"/>
        <v>RENDIMIENTO SUPERIOR</v>
      </c>
      <c r="I43" s="23">
        <f>'DAY 2'!M40</f>
        <v>1260</v>
      </c>
      <c r="J43" s="24" t="str">
        <f t="shared" si="3"/>
        <v>MANTENIMIENTO</v>
      </c>
      <c r="K43" s="23">
        <f>'DAY 2'!M50</f>
        <v>0</v>
      </c>
      <c r="L43" s="24" t="str">
        <f t="shared" si="4"/>
        <v>—</v>
      </c>
      <c r="M43" s="23">
        <f>'DAY 2'!M60</f>
        <v>0</v>
      </c>
      <c r="N43" s="24" t="str">
        <f t="shared" si="5"/>
        <v>—</v>
      </c>
      <c r="O43" s="23">
        <f>'DAY 2'!M70</f>
        <v>0</v>
      </c>
      <c r="P43" s="24" t="str">
        <f t="shared" si="6"/>
        <v>—</v>
      </c>
      <c r="Q43" s="23" t="str">
        <f>'DAY 2'!M80</f>
        <v/>
      </c>
      <c r="R43" s="24" t="str">
        <f t="shared" si="7"/>
        <v>—</v>
      </c>
      <c r="S43" s="4"/>
      <c r="T43" s="4"/>
      <c r="U43" s="4"/>
      <c r="V43" s="4"/>
      <c r="W43" s="4"/>
      <c r="X43" s="4"/>
      <c r="Y43" s="4"/>
      <c r="Z43" s="4"/>
    </row>
    <row r="44" ht="18.0" customHeight="1">
      <c r="A44" s="17" t="s">
        <v>54</v>
      </c>
      <c r="B44" s="18" t="s">
        <v>60</v>
      </c>
      <c r="C44" s="19">
        <f>'DAY 2'!M11</f>
        <v>0</v>
      </c>
      <c r="D44" s="20" t="s">
        <v>47</v>
      </c>
      <c r="E44" s="19">
        <f>'DAY 2'!M21</f>
        <v>540</v>
      </c>
      <c r="F44" s="20" t="str">
        <f t="shared" si="1"/>
        <v>—</v>
      </c>
      <c r="G44" s="19">
        <f>'DAY 2'!M31</f>
        <v>540</v>
      </c>
      <c r="H44" s="20" t="str">
        <f t="shared" si="2"/>
        <v>MANTENIMIENTO</v>
      </c>
      <c r="I44" s="19">
        <f>'DAY 2'!M41</f>
        <v>540</v>
      </c>
      <c r="J44" s="20" t="str">
        <f t="shared" si="3"/>
        <v>MANTENIMIENTO</v>
      </c>
      <c r="K44" s="19">
        <f>'DAY 2'!M51</f>
        <v>0</v>
      </c>
      <c r="L44" s="20" t="str">
        <f t="shared" si="4"/>
        <v>—</v>
      </c>
      <c r="M44" s="19">
        <f>'DAY 2'!M61</f>
        <v>0</v>
      </c>
      <c r="N44" s="20" t="str">
        <f t="shared" si="5"/>
        <v>—</v>
      </c>
      <c r="O44" s="19">
        <f>'DAY 2'!M71</f>
        <v>0</v>
      </c>
      <c r="P44" s="20" t="str">
        <f t="shared" si="6"/>
        <v>—</v>
      </c>
      <c r="Q44" s="19" t="str">
        <f>'DAY 2'!M81</f>
        <v/>
      </c>
      <c r="R44" s="20" t="str">
        <f t="shared" si="7"/>
        <v>—</v>
      </c>
      <c r="S44" s="4"/>
      <c r="T44" s="4"/>
      <c r="U44" s="4"/>
      <c r="V44" s="4"/>
      <c r="W44" s="4"/>
      <c r="X44" s="4"/>
      <c r="Y44" s="4"/>
      <c r="Z44" s="4"/>
    </row>
    <row r="45" ht="18.0" customHeight="1">
      <c r="A45" s="21" t="s">
        <v>54</v>
      </c>
      <c r="B45" s="22" t="s">
        <v>61</v>
      </c>
      <c r="C45" s="23">
        <f>'DAY 2'!M12</f>
        <v>0</v>
      </c>
      <c r="D45" s="24" t="s">
        <v>47</v>
      </c>
      <c r="E45" s="23">
        <f>'DAY 2'!M22</f>
        <v>2475</v>
      </c>
      <c r="F45" s="24" t="str">
        <f t="shared" si="1"/>
        <v>—</v>
      </c>
      <c r="G45" s="23">
        <f>'DAY 2'!M32</f>
        <v>1980</v>
      </c>
      <c r="H45" s="24" t="str">
        <f t="shared" si="2"/>
        <v>DEFICIT</v>
      </c>
      <c r="I45" s="23">
        <f>'DAY 2'!M42</f>
        <v>1980</v>
      </c>
      <c r="J45" s="24" t="str">
        <f t="shared" si="3"/>
        <v>MANTENIMIENTO</v>
      </c>
      <c r="K45" s="23">
        <f>'DAY 2'!M52</f>
        <v>0</v>
      </c>
      <c r="L45" s="24" t="str">
        <f t="shared" si="4"/>
        <v>—</v>
      </c>
      <c r="M45" s="23">
        <f>'DAY 2'!M62</f>
        <v>0</v>
      </c>
      <c r="N45" s="24" t="str">
        <f t="shared" si="5"/>
        <v>—</v>
      </c>
      <c r="O45" s="23">
        <f>'DAY 2'!M72</f>
        <v>0</v>
      </c>
      <c r="P45" s="24" t="str">
        <f t="shared" si="6"/>
        <v>—</v>
      </c>
      <c r="Q45" s="23">
        <f>'DAY 2'!M82</f>
        <v>0</v>
      </c>
      <c r="R45" s="24" t="str">
        <f t="shared" si="7"/>
        <v>—</v>
      </c>
      <c r="S45" s="4"/>
      <c r="T45" s="4"/>
      <c r="U45" s="4"/>
      <c r="V45" s="4"/>
      <c r="W45" s="4"/>
      <c r="X45" s="4"/>
      <c r="Y45" s="4"/>
      <c r="Z45" s="4"/>
    </row>
    <row r="46" ht="18.0" customHeight="1">
      <c r="A46" s="17" t="s">
        <v>62</v>
      </c>
      <c r="B46" s="18" t="s">
        <v>63</v>
      </c>
      <c r="C46" s="19">
        <f>'DAY 3'!M6</f>
        <v>0</v>
      </c>
      <c r="D46" s="20" t="s">
        <v>47</v>
      </c>
      <c r="E46" s="19">
        <f>'DAY 3'!M19</f>
        <v>1200</v>
      </c>
      <c r="F46" s="20" t="str">
        <f t="shared" si="1"/>
        <v>—</v>
      </c>
      <c r="G46" s="19">
        <f>'DAY 3'!M32</f>
        <v>1380</v>
      </c>
      <c r="H46" s="20" t="str">
        <f t="shared" si="2"/>
        <v>RENDIMIENTO SUPERIOR</v>
      </c>
      <c r="I46" s="19">
        <f>'DAY 3'!M45</f>
        <v>1600</v>
      </c>
      <c r="J46" s="20" t="str">
        <f t="shared" si="3"/>
        <v>RENDIMIENTO SUPERIOR</v>
      </c>
      <c r="K46" s="19">
        <f>'DAY 3'!M58</f>
        <v>0</v>
      </c>
      <c r="L46" s="20" t="str">
        <f t="shared" si="4"/>
        <v>—</v>
      </c>
      <c r="M46" s="19">
        <f>'DAY 3'!M71</f>
        <v>0</v>
      </c>
      <c r="N46" s="20" t="str">
        <f t="shared" si="5"/>
        <v>—</v>
      </c>
      <c r="O46" s="19">
        <f>'DAY 3'!M84</f>
        <v>0</v>
      </c>
      <c r="P46" s="20" t="str">
        <f t="shared" si="6"/>
        <v>—</v>
      </c>
      <c r="Q46" s="19">
        <f>'DAY 3'!M97</f>
        <v>0</v>
      </c>
      <c r="R46" s="20" t="str">
        <f t="shared" si="7"/>
        <v>—</v>
      </c>
      <c r="S46" s="4"/>
      <c r="T46" s="4"/>
      <c r="U46" s="4"/>
      <c r="V46" s="4"/>
      <c r="W46" s="4"/>
      <c r="X46" s="4"/>
      <c r="Y46" s="4"/>
      <c r="Z46" s="4"/>
    </row>
    <row r="47" ht="18.0" customHeight="1">
      <c r="A47" s="21" t="s">
        <v>62</v>
      </c>
      <c r="B47" s="22" t="s">
        <v>64</v>
      </c>
      <c r="C47" s="23">
        <f>'DAY 3'!M7</f>
        <v>0</v>
      </c>
      <c r="D47" s="24" t="s">
        <v>47</v>
      </c>
      <c r="E47" s="23">
        <f>'DAY 3'!M20</f>
        <v>1550</v>
      </c>
      <c r="F47" s="24" t="str">
        <f t="shared" si="1"/>
        <v>—</v>
      </c>
      <c r="G47" s="23">
        <f>'DAY 3'!M33</f>
        <v>1200</v>
      </c>
      <c r="H47" s="24" t="str">
        <f t="shared" si="2"/>
        <v>DEFICIT</v>
      </c>
      <c r="I47" s="23">
        <f>'DAY 3'!M46</f>
        <v>1440</v>
      </c>
      <c r="J47" s="24" t="str">
        <f t="shared" si="3"/>
        <v>RENDIMIENTO SUPERIOR</v>
      </c>
      <c r="K47" s="23">
        <f>'DAY 3'!M59</f>
        <v>0</v>
      </c>
      <c r="L47" s="24" t="str">
        <f t="shared" si="4"/>
        <v>—</v>
      </c>
      <c r="M47" s="23">
        <f>'DAY 3'!M72</f>
        <v>0</v>
      </c>
      <c r="N47" s="24" t="str">
        <f t="shared" si="5"/>
        <v>—</v>
      </c>
      <c r="O47" s="23">
        <f>'DAY 3'!M85</f>
        <v>0</v>
      </c>
      <c r="P47" s="24" t="str">
        <f t="shared" si="6"/>
        <v>—</v>
      </c>
      <c r="Q47" s="23">
        <f>'DAY 3'!M98</f>
        <v>0</v>
      </c>
      <c r="R47" s="24" t="str">
        <f t="shared" si="7"/>
        <v>—</v>
      </c>
      <c r="S47" s="4"/>
      <c r="T47" s="4"/>
      <c r="U47" s="4"/>
      <c r="V47" s="4"/>
      <c r="W47" s="4"/>
      <c r="X47" s="4"/>
      <c r="Y47" s="4"/>
      <c r="Z47" s="4"/>
    </row>
    <row r="48" ht="18.0" customHeight="1">
      <c r="A48" s="17" t="s">
        <v>62</v>
      </c>
      <c r="B48" s="18" t="s">
        <v>65</v>
      </c>
      <c r="C48" s="19">
        <f>'DAY 3'!M8</f>
        <v>0</v>
      </c>
      <c r="D48" s="20" t="s">
        <v>47</v>
      </c>
      <c r="E48" s="19">
        <f>'DAY 3'!M21</f>
        <v>1275</v>
      </c>
      <c r="F48" s="20" t="str">
        <f t="shared" si="1"/>
        <v>—</v>
      </c>
      <c r="G48" s="19">
        <f>'DAY 3'!M34</f>
        <v>1510</v>
      </c>
      <c r="H48" s="20" t="str">
        <f t="shared" si="2"/>
        <v>RENDIMIENTO SUPERIOR</v>
      </c>
      <c r="I48" s="19">
        <f>'DAY 3'!M47</f>
        <v>1600</v>
      </c>
      <c r="J48" s="20" t="str">
        <f t="shared" si="3"/>
        <v>RENDIMIENTO SUPERIOR</v>
      </c>
      <c r="K48" s="19">
        <f>'DAY 3'!M60</f>
        <v>0</v>
      </c>
      <c r="L48" s="20" t="str">
        <f t="shared" si="4"/>
        <v>—</v>
      </c>
      <c r="M48" s="19">
        <f>'DAY 3'!M73</f>
        <v>0</v>
      </c>
      <c r="N48" s="20" t="str">
        <f t="shared" si="5"/>
        <v>—</v>
      </c>
      <c r="O48" s="19">
        <f>'DAY 3'!M86</f>
        <v>0</v>
      </c>
      <c r="P48" s="20" t="str">
        <f t="shared" si="6"/>
        <v>—</v>
      </c>
      <c r="Q48" s="19">
        <f>'DAY 3'!M99</f>
        <v>0</v>
      </c>
      <c r="R48" s="20" t="str">
        <f t="shared" si="7"/>
        <v>—</v>
      </c>
      <c r="S48" s="4"/>
      <c r="T48" s="4"/>
      <c r="U48" s="4"/>
      <c r="V48" s="4"/>
      <c r="W48" s="4"/>
      <c r="X48" s="4"/>
      <c r="Y48" s="4"/>
      <c r="Z48" s="4"/>
    </row>
    <row r="49" ht="18.0" customHeight="1">
      <c r="A49" s="21" t="s">
        <v>62</v>
      </c>
      <c r="B49" s="22" t="s">
        <v>66</v>
      </c>
      <c r="C49" s="23">
        <f>'DAY 3'!M9</f>
        <v>0</v>
      </c>
      <c r="D49" s="24" t="s">
        <v>47</v>
      </c>
      <c r="E49" s="23">
        <f>'DAY 3'!M22</f>
        <v>1530</v>
      </c>
      <c r="F49" s="24" t="str">
        <f t="shared" si="1"/>
        <v>—</v>
      </c>
      <c r="G49" s="23">
        <f>'DAY 3'!M35</f>
        <v>1530</v>
      </c>
      <c r="H49" s="24" t="str">
        <f t="shared" si="2"/>
        <v>MANTENIMIENTO</v>
      </c>
      <c r="I49" s="23">
        <f>'DAY 3'!M48</f>
        <v>1530</v>
      </c>
      <c r="J49" s="24" t="str">
        <f t="shared" si="3"/>
        <v>MANTENIMIENTO</v>
      </c>
      <c r="K49" s="23">
        <f>'DAY 3'!M61</f>
        <v>0</v>
      </c>
      <c r="L49" s="24" t="str">
        <f t="shared" si="4"/>
        <v>—</v>
      </c>
      <c r="M49" s="23">
        <f>'DAY 3'!M74</f>
        <v>0</v>
      </c>
      <c r="N49" s="24" t="str">
        <f t="shared" si="5"/>
        <v>—</v>
      </c>
      <c r="O49" s="23">
        <f>'DAY 3'!M87</f>
        <v>0</v>
      </c>
      <c r="P49" s="24" t="str">
        <f t="shared" si="6"/>
        <v>—</v>
      </c>
      <c r="Q49" s="23">
        <f>'DAY 3'!M100</f>
        <v>0</v>
      </c>
      <c r="R49" s="24" t="str">
        <f t="shared" si="7"/>
        <v>—</v>
      </c>
      <c r="S49" s="4"/>
      <c r="T49" s="4"/>
      <c r="U49" s="4"/>
      <c r="V49" s="4"/>
      <c r="W49" s="4"/>
      <c r="X49" s="4"/>
      <c r="Y49" s="4"/>
      <c r="Z49" s="4"/>
    </row>
    <row r="50" ht="18.0" customHeight="1">
      <c r="A50" s="17" t="s">
        <v>62</v>
      </c>
      <c r="B50" s="18" t="s">
        <v>50</v>
      </c>
      <c r="C50" s="19">
        <f>'DAY 3'!M10</f>
        <v>0</v>
      </c>
      <c r="D50" s="20" t="s">
        <v>47</v>
      </c>
      <c r="E50" s="19">
        <f>'DAY 3'!M23</f>
        <v>405</v>
      </c>
      <c r="F50" s="20" t="str">
        <f t="shared" si="1"/>
        <v>—</v>
      </c>
      <c r="G50" s="19">
        <f>'DAY 3'!M36</f>
        <v>400</v>
      </c>
      <c r="H50" s="20" t="str">
        <f t="shared" si="2"/>
        <v>DEFICIT</v>
      </c>
      <c r="I50" s="19">
        <f>'DAY 3'!M49</f>
        <v>450</v>
      </c>
      <c r="J50" s="20" t="str">
        <f t="shared" si="3"/>
        <v>RENDIMIENTO SUPERIOR</v>
      </c>
      <c r="K50" s="19">
        <f>'DAY 3'!M62</f>
        <v>0</v>
      </c>
      <c r="L50" s="20" t="str">
        <f t="shared" si="4"/>
        <v>—</v>
      </c>
      <c r="M50" s="19">
        <f>'DAY 3'!M75</f>
        <v>0</v>
      </c>
      <c r="N50" s="20" t="str">
        <f t="shared" si="5"/>
        <v>—</v>
      </c>
      <c r="O50" s="19">
        <f>'DAY 3'!M88</f>
        <v>0</v>
      </c>
      <c r="P50" s="20" t="str">
        <f t="shared" si="6"/>
        <v>—</v>
      </c>
      <c r="Q50" s="19">
        <f>'DAY 3'!M101</f>
        <v>0</v>
      </c>
      <c r="R50" s="20" t="str">
        <f t="shared" si="7"/>
        <v>—</v>
      </c>
      <c r="S50" s="4"/>
      <c r="T50" s="4"/>
      <c r="U50" s="4"/>
      <c r="V50" s="4"/>
      <c r="W50" s="4"/>
      <c r="X50" s="4"/>
      <c r="Y50" s="4"/>
      <c r="Z50" s="4"/>
    </row>
    <row r="51" ht="18.0" customHeight="1">
      <c r="A51" s="21" t="s">
        <v>62</v>
      </c>
      <c r="B51" s="22" t="s">
        <v>51</v>
      </c>
      <c r="C51" s="23">
        <f>'DAY 3'!M11</f>
        <v>0</v>
      </c>
      <c r="D51" s="24" t="s">
        <v>47</v>
      </c>
      <c r="E51" s="23">
        <f>'DAY 3'!M24</f>
        <v>517.5</v>
      </c>
      <c r="F51" s="24" t="str">
        <f t="shared" si="1"/>
        <v>—</v>
      </c>
      <c r="G51" s="23">
        <f>'DAY 3'!M37</f>
        <v>562.5</v>
      </c>
      <c r="H51" s="24" t="str">
        <f t="shared" si="2"/>
        <v>RENDIMIENTO SUPERIOR</v>
      </c>
      <c r="I51" s="23">
        <f>'DAY 3'!M50</f>
        <v>562.5</v>
      </c>
      <c r="J51" s="24" t="str">
        <f t="shared" si="3"/>
        <v>MANTENIMIENTO</v>
      </c>
      <c r="K51" s="23">
        <f>'DAY 3'!M63</f>
        <v>0</v>
      </c>
      <c r="L51" s="24" t="str">
        <f t="shared" si="4"/>
        <v>—</v>
      </c>
      <c r="M51" s="23">
        <f>'DAY 3'!M76</f>
        <v>0</v>
      </c>
      <c r="N51" s="24" t="str">
        <f t="shared" si="5"/>
        <v>—</v>
      </c>
      <c r="O51" s="23">
        <f>'DAY 3'!M89</f>
        <v>0</v>
      </c>
      <c r="P51" s="24" t="str">
        <f t="shared" si="6"/>
        <v>—</v>
      </c>
      <c r="Q51" s="23">
        <f>'DAY 3'!M102</f>
        <v>0</v>
      </c>
      <c r="R51" s="24" t="str">
        <f t="shared" si="7"/>
        <v>—</v>
      </c>
      <c r="S51" s="4"/>
      <c r="T51" s="4"/>
      <c r="U51" s="4"/>
      <c r="V51" s="4"/>
      <c r="W51" s="4"/>
      <c r="X51" s="4"/>
      <c r="Y51" s="4"/>
      <c r="Z51" s="4"/>
    </row>
    <row r="52" ht="18.0" customHeight="1">
      <c r="A52" s="17" t="s">
        <v>62</v>
      </c>
      <c r="B52" s="18" t="s">
        <v>52</v>
      </c>
      <c r="C52" s="19">
        <f>'DAY 3'!M12</f>
        <v>0</v>
      </c>
      <c r="D52" s="20" t="s">
        <v>47</v>
      </c>
      <c r="E52" s="19">
        <f>'DAY 3'!M25</f>
        <v>675</v>
      </c>
      <c r="F52" s="20" t="str">
        <f t="shared" si="1"/>
        <v>—</v>
      </c>
      <c r="G52" s="19">
        <f>'DAY 3'!M38</f>
        <v>900</v>
      </c>
      <c r="H52" s="20" t="str">
        <f t="shared" si="2"/>
        <v>RENDIMIENTO SUPERIOR</v>
      </c>
      <c r="I52" s="19">
        <f>'DAY 3'!M51</f>
        <v>900</v>
      </c>
      <c r="J52" s="20" t="str">
        <f t="shared" si="3"/>
        <v>MANTENIMIENTO</v>
      </c>
      <c r="K52" s="19">
        <f>'DAY 3'!M64</f>
        <v>0</v>
      </c>
      <c r="L52" s="20" t="str">
        <f t="shared" si="4"/>
        <v>—</v>
      </c>
      <c r="M52" s="19">
        <f>'DAY 3'!M77</f>
        <v>0</v>
      </c>
      <c r="N52" s="20" t="str">
        <f t="shared" si="5"/>
        <v>—</v>
      </c>
      <c r="O52" s="19">
        <f>'DAY 3'!M90</f>
        <v>0</v>
      </c>
      <c r="P52" s="20" t="str">
        <f t="shared" si="6"/>
        <v>—</v>
      </c>
      <c r="Q52" s="19">
        <f>'DAY 3'!M103</f>
        <v>0</v>
      </c>
      <c r="R52" s="20" t="str">
        <f t="shared" si="7"/>
        <v>—</v>
      </c>
      <c r="S52" s="4"/>
      <c r="T52" s="4"/>
      <c r="U52" s="4"/>
      <c r="V52" s="4"/>
      <c r="W52" s="4"/>
      <c r="X52" s="4"/>
      <c r="Y52" s="4"/>
      <c r="Z52" s="4"/>
    </row>
    <row r="53" ht="18.0" customHeight="1">
      <c r="A53" s="21" t="s">
        <v>62</v>
      </c>
      <c r="B53" s="22" t="s">
        <v>67</v>
      </c>
      <c r="C53" s="23">
        <f>'DAY 3'!M13</f>
        <v>0</v>
      </c>
      <c r="D53" s="24" t="s">
        <v>47</v>
      </c>
      <c r="E53" s="23">
        <f>'DAY 3'!M26</f>
        <v>760</v>
      </c>
      <c r="F53" s="24" t="str">
        <f t="shared" si="1"/>
        <v>—</v>
      </c>
      <c r="G53" s="23">
        <f>'DAY 3'!M39</f>
        <v>900</v>
      </c>
      <c r="H53" s="24" t="str">
        <f t="shared" si="2"/>
        <v>RENDIMIENTO SUPERIOR</v>
      </c>
      <c r="I53" s="23">
        <f>'DAY 3'!M52</f>
        <v>900</v>
      </c>
      <c r="J53" s="24" t="str">
        <f t="shared" si="3"/>
        <v>MANTENIMIENTO</v>
      </c>
      <c r="K53" s="23">
        <f>'DAY 3'!M65</f>
        <v>0</v>
      </c>
      <c r="L53" s="24" t="str">
        <f t="shared" si="4"/>
        <v>—</v>
      </c>
      <c r="M53" s="23">
        <f>'DAY 3'!M78</f>
        <v>0</v>
      </c>
      <c r="N53" s="24" t="str">
        <f t="shared" si="5"/>
        <v>—</v>
      </c>
      <c r="O53" s="23">
        <f>'DAY 3'!M91</f>
        <v>0</v>
      </c>
      <c r="P53" s="24" t="str">
        <f t="shared" si="6"/>
        <v>—</v>
      </c>
      <c r="Q53" s="23">
        <f>'DAY 3'!M104</f>
        <v>0</v>
      </c>
      <c r="R53" s="24" t="str">
        <f t="shared" si="7"/>
        <v>—</v>
      </c>
      <c r="S53" s="4"/>
      <c r="T53" s="4"/>
      <c r="U53" s="4"/>
      <c r="V53" s="4"/>
      <c r="W53" s="4"/>
      <c r="X53" s="4"/>
      <c r="Y53" s="4"/>
      <c r="Z53" s="4"/>
    </row>
    <row r="54" ht="18.0" customHeight="1">
      <c r="A54" s="17" t="s">
        <v>62</v>
      </c>
      <c r="B54" s="18" t="s">
        <v>68</v>
      </c>
      <c r="C54" s="19">
        <f>'DAY 3'!M14</f>
        <v>0</v>
      </c>
      <c r="D54" s="20" t="s">
        <v>47</v>
      </c>
      <c r="E54" s="19">
        <f>'DAY 3'!M27</f>
        <v>480</v>
      </c>
      <c r="F54" s="20" t="str">
        <f t="shared" si="1"/>
        <v>—</v>
      </c>
      <c r="G54" s="19">
        <f>'DAY 3'!M40</f>
        <v>540</v>
      </c>
      <c r="H54" s="20" t="str">
        <f t="shared" si="2"/>
        <v>RENDIMIENTO SUPERIOR</v>
      </c>
      <c r="I54" s="19">
        <f>'DAY 3'!M53</f>
        <v>540</v>
      </c>
      <c r="J54" s="20" t="str">
        <f t="shared" si="3"/>
        <v>MANTENIMIENTO</v>
      </c>
      <c r="K54" s="19">
        <f>'DAY 3'!M66</f>
        <v>0</v>
      </c>
      <c r="L54" s="20" t="str">
        <f t="shared" si="4"/>
        <v>—</v>
      </c>
      <c r="M54" s="19">
        <f>'DAY 3'!M79</f>
        <v>0</v>
      </c>
      <c r="N54" s="20" t="str">
        <f t="shared" si="5"/>
        <v>—</v>
      </c>
      <c r="O54" s="19">
        <f>'DAY 3'!M92</f>
        <v>0</v>
      </c>
      <c r="P54" s="20" t="str">
        <f t="shared" si="6"/>
        <v>—</v>
      </c>
      <c r="Q54" s="19">
        <f>'DAY 3'!M105</f>
        <v>0</v>
      </c>
      <c r="R54" s="20" t="str">
        <f t="shared" si="7"/>
        <v>—</v>
      </c>
      <c r="S54" s="4"/>
      <c r="T54" s="4"/>
      <c r="U54" s="4"/>
      <c r="V54" s="4"/>
      <c r="W54" s="4"/>
      <c r="X54" s="4"/>
      <c r="Y54" s="4"/>
      <c r="Z54" s="4"/>
    </row>
    <row r="55" ht="18.0" customHeight="1">
      <c r="A55" s="21" t="s">
        <v>62</v>
      </c>
      <c r="B55" s="22" t="s">
        <v>53</v>
      </c>
      <c r="C55" s="23">
        <f>'DAY 3'!M15</f>
        <v>0</v>
      </c>
      <c r="D55" s="24" t="s">
        <v>47</v>
      </c>
      <c r="E55" s="23">
        <f>'DAY 3'!M28</f>
        <v>2600</v>
      </c>
      <c r="F55" s="24" t="str">
        <f t="shared" si="1"/>
        <v>—</v>
      </c>
      <c r="G55" s="23">
        <f>'DAY 3'!M41</f>
        <v>2760</v>
      </c>
      <c r="H55" s="24" t="str">
        <f t="shared" si="2"/>
        <v>RENDIMIENTO SUPERIOR</v>
      </c>
      <c r="I55" s="23">
        <f>'DAY 3'!M54</f>
        <v>2760</v>
      </c>
      <c r="J55" s="24" t="str">
        <f t="shared" si="3"/>
        <v>MANTENIMIENTO</v>
      </c>
      <c r="K55" s="23">
        <f>'DAY 3'!M67</f>
        <v>0</v>
      </c>
      <c r="L55" s="24" t="str">
        <f t="shared" si="4"/>
        <v>—</v>
      </c>
      <c r="M55" s="23">
        <f>'DAY 3'!M80</f>
        <v>0</v>
      </c>
      <c r="N55" s="24" t="str">
        <f t="shared" si="5"/>
        <v>—</v>
      </c>
      <c r="O55" s="23">
        <f>'DAY 3'!M93</f>
        <v>0</v>
      </c>
      <c r="P55" s="24" t="str">
        <f t="shared" si="6"/>
        <v>—</v>
      </c>
      <c r="Q55" s="23">
        <f>'DAY 3'!M106</f>
        <v>0</v>
      </c>
      <c r="R55" s="24" t="str">
        <f t="shared" si="7"/>
        <v>—</v>
      </c>
      <c r="S55" s="4"/>
      <c r="T55" s="4"/>
      <c r="U55" s="4"/>
      <c r="V55" s="4"/>
      <c r="W55" s="4"/>
      <c r="X55" s="4"/>
      <c r="Y55" s="4"/>
      <c r="Z55" s="4"/>
    </row>
    <row r="56" ht="18.0" customHeight="1">
      <c r="A56" s="17" t="s">
        <v>69</v>
      </c>
      <c r="B56" s="18" t="s">
        <v>70</v>
      </c>
      <c r="C56" s="19">
        <f>'DAY 4'!M6</f>
        <v>630</v>
      </c>
      <c r="D56" s="20" t="s">
        <v>47</v>
      </c>
      <c r="E56" s="19">
        <f>'DAY 4'!M16</f>
        <v>540</v>
      </c>
      <c r="F56" s="20" t="str">
        <f t="shared" si="1"/>
        <v>DEFICIT</v>
      </c>
      <c r="G56" s="19">
        <f>'DAY 4'!M26</f>
        <v>540</v>
      </c>
      <c r="H56" s="20" t="str">
        <f t="shared" si="2"/>
        <v>MANTENIMIENTO</v>
      </c>
      <c r="I56" s="19">
        <f>'DAY 4'!M36</f>
        <v>540</v>
      </c>
      <c r="J56" s="20" t="str">
        <f t="shared" si="3"/>
        <v>MANTENIMIENTO</v>
      </c>
      <c r="K56" s="19">
        <f>'DAY 4'!M46</f>
        <v>0</v>
      </c>
      <c r="L56" s="20" t="str">
        <f t="shared" si="4"/>
        <v>—</v>
      </c>
      <c r="M56" s="19">
        <f>'DAY 4'!M56</f>
        <v>0</v>
      </c>
      <c r="N56" s="20" t="str">
        <f t="shared" si="5"/>
        <v>—</v>
      </c>
      <c r="O56" s="19">
        <f>'DAY 4'!M66</f>
        <v>0</v>
      </c>
      <c r="P56" s="20" t="str">
        <f t="shared" si="6"/>
        <v>—</v>
      </c>
      <c r="Q56" s="19">
        <f>'DAY 4'!M76</f>
        <v>0</v>
      </c>
      <c r="R56" s="20" t="str">
        <f t="shared" si="7"/>
        <v>—</v>
      </c>
      <c r="S56" s="4"/>
      <c r="T56" s="4"/>
      <c r="U56" s="4"/>
      <c r="V56" s="4"/>
      <c r="W56" s="4"/>
      <c r="X56" s="4"/>
      <c r="Y56" s="4"/>
      <c r="Z56" s="4"/>
    </row>
    <row r="57" ht="18.0" customHeight="1">
      <c r="A57" s="21" t="s">
        <v>69</v>
      </c>
      <c r="B57" s="22" t="s">
        <v>71</v>
      </c>
      <c r="C57" s="23">
        <f>'DAY 4'!M7</f>
        <v>4800</v>
      </c>
      <c r="D57" s="24" t="s">
        <v>47</v>
      </c>
      <c r="E57" s="23">
        <f>'DAY 4'!M17</f>
        <v>4650</v>
      </c>
      <c r="F57" s="24" t="str">
        <f t="shared" si="1"/>
        <v>DEFICIT</v>
      </c>
      <c r="G57" s="23">
        <f>'DAY 4'!M27</f>
        <v>4800</v>
      </c>
      <c r="H57" s="24" t="str">
        <f t="shared" si="2"/>
        <v>RENDIMIENTO SUPERIOR</v>
      </c>
      <c r="I57" s="23">
        <f>'DAY 4'!M37</f>
        <v>5310</v>
      </c>
      <c r="J57" s="24" t="str">
        <f t="shared" si="3"/>
        <v>RENDIMIENTO SUPERIOR</v>
      </c>
      <c r="K57" s="23">
        <f>'DAY 4'!M47</f>
        <v>0</v>
      </c>
      <c r="L57" s="24" t="str">
        <f t="shared" si="4"/>
        <v>—</v>
      </c>
      <c r="M57" s="23">
        <f>'DAY 4'!M57</f>
        <v>0</v>
      </c>
      <c r="N57" s="24" t="str">
        <f t="shared" si="5"/>
        <v>—</v>
      </c>
      <c r="O57" s="23">
        <f>'DAY 4'!M67</f>
        <v>0</v>
      </c>
      <c r="P57" s="24" t="str">
        <f t="shared" si="6"/>
        <v>—</v>
      </c>
      <c r="Q57" s="23">
        <f>'DAY 4'!M77</f>
        <v>0</v>
      </c>
      <c r="R57" s="24" t="str">
        <f t="shared" si="7"/>
        <v>—</v>
      </c>
      <c r="S57" s="4"/>
      <c r="T57" s="4"/>
      <c r="U57" s="4"/>
      <c r="V57" s="4"/>
      <c r="W57" s="4"/>
      <c r="X57" s="4"/>
      <c r="Y57" s="4"/>
      <c r="Z57" s="4"/>
    </row>
    <row r="58" ht="18.0" customHeight="1">
      <c r="A58" s="17" t="s">
        <v>69</v>
      </c>
      <c r="B58" s="18" t="s">
        <v>48</v>
      </c>
      <c r="C58" s="19">
        <f>'DAY 4'!M8</f>
        <v>2160</v>
      </c>
      <c r="D58" s="20" t="s">
        <v>47</v>
      </c>
      <c r="E58" s="19">
        <f>'DAY 4'!M18</f>
        <v>2160</v>
      </c>
      <c r="F58" s="20" t="str">
        <f t="shared" si="1"/>
        <v>MANTENIMIENTO</v>
      </c>
      <c r="G58" s="19">
        <f>'DAY 4'!M28</f>
        <v>2070</v>
      </c>
      <c r="H58" s="20" t="str">
        <f t="shared" si="2"/>
        <v>DEFICIT</v>
      </c>
      <c r="I58" s="19">
        <f>'DAY 4'!M38</f>
        <v>2070</v>
      </c>
      <c r="J58" s="20" t="str">
        <f t="shared" si="3"/>
        <v>MANTENIMIENTO</v>
      </c>
      <c r="K58" s="19">
        <f>'DAY 4'!M48</f>
        <v>0</v>
      </c>
      <c r="L58" s="20" t="str">
        <f t="shared" si="4"/>
        <v>—</v>
      </c>
      <c r="M58" s="19">
        <f>'DAY 4'!M58</f>
        <v>0</v>
      </c>
      <c r="N58" s="20" t="str">
        <f t="shared" si="5"/>
        <v>—</v>
      </c>
      <c r="O58" s="19">
        <f>'DAY 4'!M68</f>
        <v>0</v>
      </c>
      <c r="P58" s="20" t="str">
        <f t="shared" si="6"/>
        <v>—</v>
      </c>
      <c r="Q58" s="19">
        <f>'DAY 4'!M78</f>
        <v>0</v>
      </c>
      <c r="R58" s="20" t="str">
        <f t="shared" si="7"/>
        <v>—</v>
      </c>
      <c r="S58" s="4"/>
      <c r="T58" s="4"/>
      <c r="U58" s="4"/>
      <c r="V58" s="4"/>
      <c r="W58" s="4"/>
      <c r="X58" s="4"/>
      <c r="Y58" s="4"/>
      <c r="Z58" s="4"/>
    </row>
    <row r="59" ht="18.0" customHeight="1">
      <c r="A59" s="21" t="s">
        <v>69</v>
      </c>
      <c r="B59" s="22" t="s">
        <v>72</v>
      </c>
      <c r="C59" s="23">
        <f>'DAY 4'!M9</f>
        <v>1757.5</v>
      </c>
      <c r="D59" s="24" t="s">
        <v>47</v>
      </c>
      <c r="E59" s="23">
        <f>'DAY 4'!M19</f>
        <v>1710</v>
      </c>
      <c r="F59" s="24" t="str">
        <f t="shared" si="1"/>
        <v>DEFICIT</v>
      </c>
      <c r="G59" s="23">
        <f>'DAY 4'!M29</f>
        <v>1530</v>
      </c>
      <c r="H59" s="24" t="str">
        <f t="shared" si="2"/>
        <v>DEFICIT</v>
      </c>
      <c r="I59" s="23">
        <f>'DAY 4'!M39</f>
        <v>1710</v>
      </c>
      <c r="J59" s="24" t="str">
        <f t="shared" si="3"/>
        <v>RENDIMIENTO SUPERIOR</v>
      </c>
      <c r="K59" s="23">
        <f>'DAY 4'!M49</f>
        <v>0</v>
      </c>
      <c r="L59" s="24" t="str">
        <f t="shared" si="4"/>
        <v>—</v>
      </c>
      <c r="M59" s="23">
        <f>'DAY 4'!M59</f>
        <v>0</v>
      </c>
      <c r="N59" s="24" t="str">
        <f t="shared" si="5"/>
        <v>—</v>
      </c>
      <c r="O59" s="23">
        <f>'DAY 4'!M69</f>
        <v>0</v>
      </c>
      <c r="P59" s="24" t="str">
        <f t="shared" si="6"/>
        <v>—</v>
      </c>
      <c r="Q59" s="23">
        <f>'DAY 4'!M79</f>
        <v>0</v>
      </c>
      <c r="R59" s="24" t="str">
        <f t="shared" si="7"/>
        <v>—</v>
      </c>
      <c r="S59" s="4"/>
      <c r="T59" s="4"/>
      <c r="U59" s="4"/>
      <c r="V59" s="4"/>
      <c r="W59" s="4"/>
      <c r="X59" s="4"/>
      <c r="Y59" s="4"/>
      <c r="Z59" s="4"/>
    </row>
    <row r="60" ht="18.0" customHeight="1">
      <c r="A60" s="17" t="s">
        <v>69</v>
      </c>
      <c r="B60" s="18" t="s">
        <v>73</v>
      </c>
      <c r="C60" s="19">
        <f>'DAY 4'!M10</f>
        <v>1505</v>
      </c>
      <c r="D60" s="20" t="s">
        <v>47</v>
      </c>
      <c r="E60" s="19">
        <f>'DAY 4'!M20</f>
        <v>1575</v>
      </c>
      <c r="F60" s="20" t="str">
        <f t="shared" si="1"/>
        <v>RENDIMIENTO SUPERIOR</v>
      </c>
      <c r="G60" s="19">
        <f>'DAY 4'!M30</f>
        <v>1260</v>
      </c>
      <c r="H60" s="20" t="str">
        <f t="shared" si="2"/>
        <v>DEFICIT</v>
      </c>
      <c r="I60" s="19">
        <f>'DAY 4'!M40</f>
        <v>1530</v>
      </c>
      <c r="J60" s="20" t="str">
        <f t="shared" si="3"/>
        <v>RENDIMIENTO SUPERIOR</v>
      </c>
      <c r="K60" s="19">
        <f>'DAY 4'!M50</f>
        <v>0</v>
      </c>
      <c r="L60" s="20" t="str">
        <f t="shared" si="4"/>
        <v>—</v>
      </c>
      <c r="M60" s="19">
        <f>'DAY 4'!M60</f>
        <v>0</v>
      </c>
      <c r="N60" s="20" t="str">
        <f t="shared" si="5"/>
        <v>—</v>
      </c>
      <c r="O60" s="19">
        <f>'DAY 4'!M70</f>
        <v>0</v>
      </c>
      <c r="P60" s="20" t="str">
        <f t="shared" si="6"/>
        <v>—</v>
      </c>
      <c r="Q60" s="19">
        <f>'DAY 4'!M80</f>
        <v>0</v>
      </c>
      <c r="R60" s="20" t="str">
        <f t="shared" si="7"/>
        <v>—</v>
      </c>
      <c r="S60" s="4"/>
      <c r="T60" s="4"/>
      <c r="U60" s="4"/>
      <c r="V60" s="4"/>
      <c r="W60" s="4"/>
      <c r="X60" s="4"/>
      <c r="Y60" s="4"/>
      <c r="Z60" s="4"/>
    </row>
    <row r="61" ht="18.0" customHeight="1">
      <c r="A61" s="21" t="s">
        <v>69</v>
      </c>
      <c r="B61" s="22" t="s">
        <v>74</v>
      </c>
      <c r="C61" s="23">
        <f>'DAY 4'!M11</f>
        <v>5200</v>
      </c>
      <c r="D61" s="24" t="s">
        <v>47</v>
      </c>
      <c r="E61" s="23">
        <f>'DAY 4'!M21</f>
        <v>5400</v>
      </c>
      <c r="F61" s="24" t="str">
        <f t="shared" si="1"/>
        <v>RENDIMIENTO SUPERIOR</v>
      </c>
      <c r="G61" s="23">
        <f>'DAY 4'!M31</f>
        <v>5400</v>
      </c>
      <c r="H61" s="24" t="str">
        <f t="shared" si="2"/>
        <v>MANTENIMIENTO</v>
      </c>
      <c r="I61" s="23">
        <f>'DAY 4'!M41</f>
        <v>5400</v>
      </c>
      <c r="J61" s="24" t="str">
        <f t="shared" si="3"/>
        <v>MANTENIMIENTO</v>
      </c>
      <c r="K61" s="23">
        <f>'DAY 4'!M51</f>
        <v>0</v>
      </c>
      <c r="L61" s="24" t="str">
        <f t="shared" si="4"/>
        <v>—</v>
      </c>
      <c r="M61" s="23">
        <f>'DAY 4'!M61</f>
        <v>0</v>
      </c>
      <c r="N61" s="24" t="str">
        <f t="shared" si="5"/>
        <v>—</v>
      </c>
      <c r="O61" s="23">
        <f>'DAY 4'!M71</f>
        <v>0</v>
      </c>
      <c r="P61" s="24" t="str">
        <f t="shared" si="6"/>
        <v>—</v>
      </c>
      <c r="Q61" s="23">
        <f>'DAY 4'!M81</f>
        <v>0</v>
      </c>
      <c r="R61" s="24" t="str">
        <f t="shared" si="7"/>
        <v>—</v>
      </c>
      <c r="S61" s="4"/>
      <c r="T61" s="4"/>
      <c r="U61" s="4"/>
      <c r="V61" s="4"/>
      <c r="W61" s="4"/>
      <c r="X61" s="4"/>
      <c r="Y61" s="4"/>
      <c r="Z61" s="4"/>
    </row>
    <row r="62" ht="18.0" customHeight="1">
      <c r="A62" s="17" t="s">
        <v>69</v>
      </c>
      <c r="B62" s="18" t="s">
        <v>75</v>
      </c>
      <c r="C62" s="19">
        <f>'DAY 4'!M12</f>
        <v>1800</v>
      </c>
      <c r="D62" s="20" t="s">
        <v>47</v>
      </c>
      <c r="E62" s="19">
        <f>'DAY 4'!M22</f>
        <v>2000</v>
      </c>
      <c r="F62" s="20" t="str">
        <f t="shared" si="1"/>
        <v>RENDIMIENTO SUPERIOR</v>
      </c>
      <c r="G62" s="19">
        <f>'DAY 4'!M32</f>
        <v>1950</v>
      </c>
      <c r="H62" s="20" t="str">
        <f t="shared" si="2"/>
        <v>DEFICIT</v>
      </c>
      <c r="I62" s="19">
        <f>'DAY 4'!M42</f>
        <v>1950</v>
      </c>
      <c r="J62" s="20" t="str">
        <f t="shared" si="3"/>
        <v>MANTENIMIENTO</v>
      </c>
      <c r="K62" s="19">
        <f>'DAY 4'!M52</f>
        <v>0</v>
      </c>
      <c r="L62" s="20" t="str">
        <f t="shared" si="4"/>
        <v>—</v>
      </c>
      <c r="M62" s="19">
        <f>'DAY 4'!M62</f>
        <v>0</v>
      </c>
      <c r="N62" s="20" t="str">
        <f t="shared" si="5"/>
        <v>—</v>
      </c>
      <c r="O62" s="19">
        <f>'DAY 4'!M72</f>
        <v>0</v>
      </c>
      <c r="P62" s="20" t="str">
        <f t="shared" si="6"/>
        <v>—</v>
      </c>
      <c r="Q62" s="19">
        <f>'DAY 4'!M82</f>
        <v>0</v>
      </c>
      <c r="R62" s="20" t="str">
        <f t="shared" si="7"/>
        <v>—</v>
      </c>
      <c r="S62" s="4"/>
      <c r="T62" s="4"/>
      <c r="U62" s="4"/>
      <c r="V62" s="4"/>
      <c r="W62" s="4"/>
      <c r="X62" s="4"/>
      <c r="Y62" s="4"/>
      <c r="Z62" s="4"/>
    </row>
    <row r="63" ht="18.0" customHeight="1">
      <c r="A63" s="21" t="s">
        <v>76</v>
      </c>
      <c r="B63" s="22" t="s">
        <v>57</v>
      </c>
      <c r="C63" s="23">
        <f>'DAY 5'!M6</f>
        <v>2820</v>
      </c>
      <c r="D63" s="24" t="s">
        <v>47</v>
      </c>
      <c r="E63" s="23">
        <f>'DAY 5'!M15</f>
        <v>2640</v>
      </c>
      <c r="F63" s="24" t="str">
        <f t="shared" si="1"/>
        <v>DEFICIT</v>
      </c>
      <c r="G63" s="23">
        <f>'DAY 5'!M24</f>
        <v>2520</v>
      </c>
      <c r="H63" s="24" t="str">
        <f t="shared" si="2"/>
        <v>DEFICIT</v>
      </c>
      <c r="I63" s="23">
        <f>'DAY 5'!M33</f>
        <v>2520</v>
      </c>
      <c r="J63" s="24" t="str">
        <f t="shared" si="3"/>
        <v>MANTENIMIENTO</v>
      </c>
      <c r="K63" s="23">
        <f>'DAY 5'!M42</f>
        <v>12165</v>
      </c>
      <c r="L63" s="24" t="str">
        <f t="shared" si="4"/>
        <v>RENDIMIENTO SUPERIOR</v>
      </c>
      <c r="M63" s="23">
        <f>'DAY 5'!M51</f>
        <v>0</v>
      </c>
      <c r="N63" s="24" t="str">
        <f t="shared" si="5"/>
        <v>—</v>
      </c>
      <c r="O63" s="23">
        <f>'DAY 5'!M60</f>
        <v>0</v>
      </c>
      <c r="P63" s="24" t="str">
        <f t="shared" si="6"/>
        <v>—</v>
      </c>
      <c r="Q63" s="23">
        <f>'DAY 5'!M69</f>
        <v>0</v>
      </c>
      <c r="R63" s="24" t="str">
        <f t="shared" si="7"/>
        <v>—</v>
      </c>
      <c r="S63" s="4"/>
      <c r="T63" s="4"/>
      <c r="U63" s="4"/>
      <c r="V63" s="4"/>
      <c r="W63" s="4"/>
      <c r="X63" s="4"/>
      <c r="Y63" s="4"/>
      <c r="Z63" s="4"/>
    </row>
    <row r="64" ht="18.0" customHeight="1">
      <c r="A64" s="17" t="s">
        <v>76</v>
      </c>
      <c r="B64" s="18" t="s">
        <v>55</v>
      </c>
      <c r="C64" s="19">
        <f>'DAY 5'!M7</f>
        <v>2520</v>
      </c>
      <c r="D64" s="20" t="s">
        <v>47</v>
      </c>
      <c r="E64" s="19">
        <f>'DAY 5'!M16</f>
        <v>2520</v>
      </c>
      <c r="F64" s="20" t="str">
        <f t="shared" si="1"/>
        <v>MANTENIMIENTO</v>
      </c>
      <c r="G64" s="19">
        <f>'DAY 5'!M25</f>
        <v>2600</v>
      </c>
      <c r="H64" s="20" t="str">
        <f t="shared" si="2"/>
        <v>RENDIMIENTO SUPERIOR</v>
      </c>
      <c r="I64" s="19">
        <f>'DAY 5'!M34</f>
        <v>2520</v>
      </c>
      <c r="J64" s="20" t="str">
        <f t="shared" si="3"/>
        <v>DEFICIT</v>
      </c>
      <c r="K64" s="19" t="str">
        <f>'DAY 5'!M43</f>
        <v/>
      </c>
      <c r="L64" s="20" t="str">
        <f t="shared" si="4"/>
        <v>—</v>
      </c>
      <c r="M64" s="19">
        <f>'DAY 5'!M52</f>
        <v>0</v>
      </c>
      <c r="N64" s="20" t="str">
        <f t="shared" si="5"/>
        <v>—</v>
      </c>
      <c r="O64" s="19">
        <f>'DAY 5'!M61</f>
        <v>0</v>
      </c>
      <c r="P64" s="20" t="str">
        <f t="shared" si="6"/>
        <v>—</v>
      </c>
      <c r="Q64" s="19">
        <f>'DAY 5'!M70</f>
        <v>0</v>
      </c>
      <c r="R64" s="20" t="str">
        <f t="shared" si="7"/>
        <v>—</v>
      </c>
      <c r="S64" s="4"/>
      <c r="T64" s="4"/>
      <c r="U64" s="4"/>
      <c r="V64" s="4"/>
      <c r="W64" s="4"/>
      <c r="X64" s="4"/>
      <c r="Y64" s="4"/>
      <c r="Z64" s="4"/>
    </row>
    <row r="65" ht="18.0" customHeight="1">
      <c r="A65" s="21" t="s">
        <v>76</v>
      </c>
      <c r="B65" s="22" t="s">
        <v>77</v>
      </c>
      <c r="C65" s="23">
        <f>'DAY 5'!M8</f>
        <v>1020</v>
      </c>
      <c r="D65" s="24" t="s">
        <v>47</v>
      </c>
      <c r="E65" s="23">
        <f>'DAY 5'!M17</f>
        <v>900</v>
      </c>
      <c r="F65" s="24" t="str">
        <f t="shared" si="1"/>
        <v>DEFICIT</v>
      </c>
      <c r="G65" s="23">
        <f>'DAY 5'!M26</f>
        <v>1020</v>
      </c>
      <c r="H65" s="24" t="str">
        <f t="shared" si="2"/>
        <v>RENDIMIENTO SUPERIOR</v>
      </c>
      <c r="I65" s="23">
        <f>'DAY 5'!M35</f>
        <v>1800</v>
      </c>
      <c r="J65" s="24" t="str">
        <f t="shared" si="3"/>
        <v>RENDIMIENTO SUPERIOR</v>
      </c>
      <c r="K65" s="23" t="str">
        <f>'DAY 5'!M44</f>
        <v/>
      </c>
      <c r="L65" s="24" t="str">
        <f t="shared" si="4"/>
        <v>—</v>
      </c>
      <c r="M65" s="23">
        <f>'DAY 5'!M53</f>
        <v>0</v>
      </c>
      <c r="N65" s="24" t="str">
        <f t="shared" si="5"/>
        <v>—</v>
      </c>
      <c r="O65" s="23">
        <f>'DAY 5'!M62</f>
        <v>0</v>
      </c>
      <c r="P65" s="24" t="str">
        <f t="shared" si="6"/>
        <v>—</v>
      </c>
      <c r="Q65" s="23">
        <f>'DAY 5'!M71</f>
        <v>0</v>
      </c>
      <c r="R65" s="24" t="str">
        <f t="shared" si="7"/>
        <v>—</v>
      </c>
      <c r="S65" s="4"/>
      <c r="T65" s="4"/>
      <c r="U65" s="4"/>
      <c r="V65" s="4"/>
      <c r="W65" s="4"/>
      <c r="X65" s="4"/>
      <c r="Y65" s="4"/>
      <c r="Z65" s="4"/>
    </row>
    <row r="66" ht="18.0" customHeight="1">
      <c r="A66" s="17" t="s">
        <v>76</v>
      </c>
      <c r="B66" s="18" t="s">
        <v>78</v>
      </c>
      <c r="C66" s="19">
        <f>'DAY 5'!M9</f>
        <v>375</v>
      </c>
      <c r="D66" s="20" t="s">
        <v>47</v>
      </c>
      <c r="E66" s="19">
        <f>'DAY 5'!M18</f>
        <v>540</v>
      </c>
      <c r="F66" s="20" t="str">
        <f t="shared" si="1"/>
        <v>RENDIMIENTO SUPERIOR</v>
      </c>
      <c r="G66" s="19">
        <f>'DAY 5'!M27</f>
        <v>450</v>
      </c>
      <c r="H66" s="20" t="str">
        <f t="shared" si="2"/>
        <v>DEFICIT</v>
      </c>
      <c r="I66" s="19">
        <f>'DAY 5'!M36</f>
        <v>525</v>
      </c>
      <c r="J66" s="20" t="str">
        <f t="shared" si="3"/>
        <v>RENDIMIENTO SUPERIOR</v>
      </c>
      <c r="K66" s="19">
        <f>'DAY 5'!M45</f>
        <v>0</v>
      </c>
      <c r="L66" s="20" t="str">
        <f t="shared" si="4"/>
        <v>—</v>
      </c>
      <c r="M66" s="19">
        <f>'DAY 5'!M54</f>
        <v>0</v>
      </c>
      <c r="N66" s="20" t="str">
        <f t="shared" si="5"/>
        <v>—</v>
      </c>
      <c r="O66" s="19">
        <f>'DAY 5'!M63</f>
        <v>0</v>
      </c>
      <c r="P66" s="20" t="str">
        <f t="shared" si="6"/>
        <v>—</v>
      </c>
      <c r="Q66" s="19">
        <f>'DAY 5'!M72</f>
        <v>0</v>
      </c>
      <c r="R66" s="20" t="str">
        <f t="shared" si="7"/>
        <v>—</v>
      </c>
      <c r="S66" s="4"/>
      <c r="T66" s="4"/>
      <c r="U66" s="4"/>
      <c r="V66" s="4"/>
      <c r="W66" s="4"/>
      <c r="X66" s="4"/>
      <c r="Y66" s="4"/>
      <c r="Z66" s="4"/>
    </row>
    <row r="67" ht="18.0" customHeight="1">
      <c r="A67" s="21" t="s">
        <v>76</v>
      </c>
      <c r="B67" s="22" t="s">
        <v>79</v>
      </c>
      <c r="C67" s="23">
        <f>'DAY 5'!M10</f>
        <v>560</v>
      </c>
      <c r="D67" s="24" t="s">
        <v>47</v>
      </c>
      <c r="E67" s="23">
        <f>'DAY 5'!M19</f>
        <v>600</v>
      </c>
      <c r="F67" s="24" t="str">
        <f t="shared" si="1"/>
        <v>RENDIMIENTO SUPERIOR</v>
      </c>
      <c r="G67" s="23">
        <f>'DAY 5'!M28</f>
        <v>760</v>
      </c>
      <c r="H67" s="24" t="str">
        <f t="shared" si="2"/>
        <v>RENDIMIENTO SUPERIOR</v>
      </c>
      <c r="I67" s="23">
        <f>'DAY 5'!M37</f>
        <v>300</v>
      </c>
      <c r="J67" s="24" t="str">
        <f t="shared" si="3"/>
        <v>DEFICIT</v>
      </c>
      <c r="K67" s="23">
        <f>'DAY 5'!M46</f>
        <v>0</v>
      </c>
      <c r="L67" s="24" t="str">
        <f t="shared" si="4"/>
        <v>—</v>
      </c>
      <c r="M67" s="23" t="str">
        <f>'DAY 5'!M55</f>
        <v/>
      </c>
      <c r="N67" s="24" t="str">
        <f t="shared" si="5"/>
        <v>—</v>
      </c>
      <c r="O67" s="23">
        <f>'DAY 5'!M64</f>
        <v>0</v>
      </c>
      <c r="P67" s="24" t="str">
        <f t="shared" si="6"/>
        <v>—</v>
      </c>
      <c r="Q67" s="23">
        <f>'DAY 5'!M73</f>
        <v>0</v>
      </c>
      <c r="R67" s="24" t="str">
        <f t="shared" si="7"/>
        <v>—</v>
      </c>
      <c r="S67" s="4"/>
      <c r="T67" s="4"/>
      <c r="U67" s="4"/>
      <c r="V67" s="4"/>
      <c r="W67" s="4"/>
      <c r="X67" s="4"/>
      <c r="Y67" s="4"/>
      <c r="Z67" s="4"/>
    </row>
    <row r="68" ht="18.0" customHeight="1">
      <c r="A68" s="17" t="s">
        <v>76</v>
      </c>
      <c r="B68" s="18" t="s">
        <v>80</v>
      </c>
      <c r="C68" s="19">
        <f>'DAY 5'!M11</f>
        <v>1800</v>
      </c>
      <c r="D68" s="20" t="s">
        <v>47</v>
      </c>
      <c r="E68" s="19">
        <f>'DAY 5'!M20</f>
        <v>1800</v>
      </c>
      <c r="F68" s="20" t="str">
        <f t="shared" si="1"/>
        <v>MANTENIMIENTO</v>
      </c>
      <c r="G68" s="19">
        <f>'DAY 5'!M29</f>
        <v>1800</v>
      </c>
      <c r="H68" s="20" t="str">
        <f t="shared" si="2"/>
        <v>MANTENIMIENTO</v>
      </c>
      <c r="I68" s="19">
        <f>'DAY 5'!M38</f>
        <v>1350</v>
      </c>
      <c r="J68" s="20" t="str">
        <f t="shared" si="3"/>
        <v>DEFICIT</v>
      </c>
      <c r="K68" s="19">
        <f>'DAY 5'!M47</f>
        <v>0</v>
      </c>
      <c r="L68" s="20" t="str">
        <f t="shared" si="4"/>
        <v>—</v>
      </c>
      <c r="M68" s="19" t="str">
        <f>'DAY 5'!M56</f>
        <v/>
      </c>
      <c r="N68" s="20" t="str">
        <f t="shared" si="5"/>
        <v>—</v>
      </c>
      <c r="O68" s="19">
        <f>'DAY 5'!M65</f>
        <v>0</v>
      </c>
      <c r="P68" s="20" t="str">
        <f t="shared" si="6"/>
        <v>—</v>
      </c>
      <c r="Q68" s="19">
        <f>'DAY 5'!M74</f>
        <v>0</v>
      </c>
      <c r="R68" s="20" t="str">
        <f t="shared" si="7"/>
        <v>—</v>
      </c>
      <c r="S68" s="4"/>
      <c r="T68" s="4"/>
      <c r="U68" s="4"/>
      <c r="V68" s="4"/>
      <c r="W68" s="4"/>
      <c r="X68" s="4"/>
      <c r="Y68" s="4"/>
      <c r="Z68" s="4"/>
    </row>
    <row r="69" ht="18.0" customHeight="1">
      <c r="A69" s="21" t="s">
        <v>81</v>
      </c>
      <c r="B69" s="22" t="s">
        <v>50</v>
      </c>
      <c r="C69" s="23">
        <f>'DAY 6'!M6</f>
        <v>360</v>
      </c>
      <c r="D69" s="24" t="s">
        <v>47</v>
      </c>
      <c r="E69" s="23">
        <f>'DAY 6'!M19</f>
        <v>360</v>
      </c>
      <c r="F69" s="24" t="str">
        <f t="shared" si="1"/>
        <v>MANTENIMIENTO</v>
      </c>
      <c r="G69" s="23">
        <f>'DAY 6'!M32</f>
        <v>410</v>
      </c>
      <c r="H69" s="24" t="str">
        <f t="shared" si="2"/>
        <v>RENDIMIENTO SUPERIOR</v>
      </c>
      <c r="I69" s="23">
        <f>'DAY 6'!M45</f>
        <v>450</v>
      </c>
      <c r="J69" s="24" t="str">
        <f t="shared" si="3"/>
        <v>RENDIMIENTO SUPERIOR</v>
      </c>
      <c r="K69" s="23">
        <f>'DAY 6'!M58</f>
        <v>0</v>
      </c>
      <c r="L69" s="24" t="str">
        <f t="shared" si="4"/>
        <v>—</v>
      </c>
      <c r="M69" s="23">
        <f>'DAY 6'!M71</f>
        <v>0</v>
      </c>
      <c r="N69" s="24" t="str">
        <f t="shared" si="5"/>
        <v>—</v>
      </c>
      <c r="O69" s="23">
        <f>'DAY 6'!M84</f>
        <v>0</v>
      </c>
      <c r="P69" s="24" t="str">
        <f t="shared" si="6"/>
        <v>—</v>
      </c>
      <c r="Q69" s="23">
        <f>'DAY 6'!M97</f>
        <v>0</v>
      </c>
      <c r="R69" s="24" t="str">
        <f t="shared" si="7"/>
        <v>—</v>
      </c>
      <c r="S69" s="4"/>
      <c r="T69" s="4"/>
      <c r="U69" s="4"/>
      <c r="V69" s="4"/>
      <c r="W69" s="4"/>
      <c r="X69" s="4"/>
      <c r="Y69" s="4"/>
      <c r="Z69" s="4"/>
    </row>
    <row r="70" ht="18.0" customHeight="1">
      <c r="A70" s="17" t="s">
        <v>81</v>
      </c>
      <c r="B70" s="18" t="s">
        <v>51</v>
      </c>
      <c r="C70" s="19">
        <f>'DAY 6'!M7</f>
        <v>517.5</v>
      </c>
      <c r="D70" s="20" t="s">
        <v>47</v>
      </c>
      <c r="E70" s="19">
        <f>'DAY 6'!M20</f>
        <v>517.5</v>
      </c>
      <c r="F70" s="20" t="str">
        <f t="shared" si="1"/>
        <v>MANTENIMIENTO</v>
      </c>
      <c r="G70" s="19">
        <f>'DAY 6'!M33</f>
        <v>540</v>
      </c>
      <c r="H70" s="20" t="str">
        <f t="shared" si="2"/>
        <v>RENDIMIENTO SUPERIOR</v>
      </c>
      <c r="I70" s="19">
        <f>'DAY 6'!M46</f>
        <v>540</v>
      </c>
      <c r="J70" s="20" t="str">
        <f t="shared" si="3"/>
        <v>MANTENIMIENTO</v>
      </c>
      <c r="K70" s="19">
        <f>'DAY 6'!M59</f>
        <v>0</v>
      </c>
      <c r="L70" s="20" t="str">
        <f t="shared" si="4"/>
        <v>—</v>
      </c>
      <c r="M70" s="19">
        <f>'DAY 6'!M72</f>
        <v>0</v>
      </c>
      <c r="N70" s="20" t="str">
        <f t="shared" si="5"/>
        <v>—</v>
      </c>
      <c r="O70" s="19">
        <f>'DAY 6'!M85</f>
        <v>0</v>
      </c>
      <c r="P70" s="20" t="str">
        <f t="shared" si="6"/>
        <v>—</v>
      </c>
      <c r="Q70" s="19">
        <f>'DAY 6'!M98</f>
        <v>0</v>
      </c>
      <c r="R70" s="20" t="str">
        <f t="shared" si="7"/>
        <v>—</v>
      </c>
      <c r="S70" s="4"/>
      <c r="T70" s="4"/>
      <c r="U70" s="4"/>
      <c r="V70" s="4"/>
      <c r="W70" s="4"/>
      <c r="X70" s="4"/>
      <c r="Y70" s="4"/>
      <c r="Z70" s="4"/>
    </row>
    <row r="71" ht="18.0" customHeight="1">
      <c r="A71" s="21" t="s">
        <v>81</v>
      </c>
      <c r="B71" s="22" t="s">
        <v>52</v>
      </c>
      <c r="C71" s="23">
        <f>'DAY 6'!M8</f>
        <v>900</v>
      </c>
      <c r="D71" s="24" t="s">
        <v>47</v>
      </c>
      <c r="E71" s="23">
        <f>'DAY 6'!M21</f>
        <v>675</v>
      </c>
      <c r="F71" s="24" t="str">
        <f t="shared" si="1"/>
        <v>DEFICIT</v>
      </c>
      <c r="G71" s="23">
        <f>'DAY 6'!M34</f>
        <v>720</v>
      </c>
      <c r="H71" s="24" t="str">
        <f t="shared" si="2"/>
        <v>RENDIMIENTO SUPERIOR</v>
      </c>
      <c r="I71" s="23">
        <f>'DAY 6'!M47</f>
        <v>720</v>
      </c>
      <c r="J71" s="24" t="str">
        <f t="shared" si="3"/>
        <v>MANTENIMIENTO</v>
      </c>
      <c r="K71" s="23">
        <f>'DAY 6'!M60</f>
        <v>0</v>
      </c>
      <c r="L71" s="24" t="str">
        <f t="shared" si="4"/>
        <v>—</v>
      </c>
      <c r="M71" s="23">
        <f>'DAY 6'!M73</f>
        <v>0</v>
      </c>
      <c r="N71" s="24" t="str">
        <f t="shared" si="5"/>
        <v>—</v>
      </c>
      <c r="O71" s="23">
        <f>'DAY 6'!M86</f>
        <v>0</v>
      </c>
      <c r="P71" s="24" t="str">
        <f t="shared" si="6"/>
        <v>—</v>
      </c>
      <c r="Q71" s="23">
        <f>'DAY 6'!M99</f>
        <v>0</v>
      </c>
      <c r="R71" s="24" t="str">
        <f t="shared" si="7"/>
        <v>—</v>
      </c>
      <c r="S71" s="4"/>
      <c r="T71" s="4"/>
      <c r="U71" s="4"/>
      <c r="V71" s="4"/>
      <c r="W71" s="4"/>
      <c r="X71" s="4"/>
      <c r="Y71" s="4"/>
      <c r="Z71" s="4"/>
    </row>
    <row r="72" ht="18.0" customHeight="1">
      <c r="A72" s="17" t="s">
        <v>81</v>
      </c>
      <c r="B72" s="18" t="s">
        <v>82</v>
      </c>
      <c r="C72" s="19">
        <f>'DAY 6'!M9</f>
        <v>620</v>
      </c>
      <c r="D72" s="20" t="s">
        <v>47</v>
      </c>
      <c r="E72" s="19">
        <f>'DAY 6'!M22</f>
        <v>600</v>
      </c>
      <c r="F72" s="20" t="str">
        <f t="shared" si="1"/>
        <v>DEFICIT</v>
      </c>
      <c r="G72" s="19">
        <f>'DAY 6'!M35</f>
        <v>660</v>
      </c>
      <c r="H72" s="20" t="str">
        <f t="shared" si="2"/>
        <v>RENDIMIENTO SUPERIOR</v>
      </c>
      <c r="I72" s="19">
        <f>'DAY 6'!M48</f>
        <v>660</v>
      </c>
      <c r="J72" s="20" t="str">
        <f t="shared" si="3"/>
        <v>MANTENIMIENTO</v>
      </c>
      <c r="K72" s="19">
        <f>'DAY 6'!M61</f>
        <v>0</v>
      </c>
      <c r="L72" s="20" t="str">
        <f t="shared" si="4"/>
        <v>—</v>
      </c>
      <c r="M72" s="19">
        <f>'DAY 6'!M74</f>
        <v>0</v>
      </c>
      <c r="N72" s="20" t="str">
        <f t="shared" si="5"/>
        <v>—</v>
      </c>
      <c r="O72" s="19">
        <f>'DAY 6'!M87</f>
        <v>0</v>
      </c>
      <c r="P72" s="20" t="str">
        <f t="shared" si="6"/>
        <v>—</v>
      </c>
      <c r="Q72" s="19">
        <f>'DAY 6'!M100</f>
        <v>0</v>
      </c>
      <c r="R72" s="20" t="str">
        <f t="shared" si="7"/>
        <v>—</v>
      </c>
      <c r="S72" s="4"/>
      <c r="T72" s="4"/>
      <c r="U72" s="4"/>
      <c r="V72" s="4"/>
      <c r="W72" s="4"/>
      <c r="X72" s="4"/>
      <c r="Y72" s="4"/>
      <c r="Z72" s="4"/>
    </row>
    <row r="73" ht="18.0" customHeight="1">
      <c r="A73" s="21" t="s">
        <v>81</v>
      </c>
      <c r="B73" s="22" t="s">
        <v>83</v>
      </c>
      <c r="C73" s="23">
        <f>'DAY 6'!M10</f>
        <v>1500</v>
      </c>
      <c r="D73" s="24" t="s">
        <v>47</v>
      </c>
      <c r="E73" s="23">
        <f>'DAY 6'!M23</f>
        <v>1620</v>
      </c>
      <c r="F73" s="24" t="str">
        <f t="shared" si="1"/>
        <v>RENDIMIENTO SUPERIOR</v>
      </c>
      <c r="G73" s="23">
        <f>'DAY 6'!M36</f>
        <v>1800</v>
      </c>
      <c r="H73" s="24" t="str">
        <f t="shared" si="2"/>
        <v>RENDIMIENTO SUPERIOR</v>
      </c>
      <c r="I73" s="23">
        <f>'DAY 6'!M49</f>
        <v>1800</v>
      </c>
      <c r="J73" s="24" t="str">
        <f t="shared" si="3"/>
        <v>MANTENIMIENTO</v>
      </c>
      <c r="K73" s="23">
        <f>'DAY 6'!M62</f>
        <v>0</v>
      </c>
      <c r="L73" s="24" t="str">
        <f t="shared" si="4"/>
        <v>—</v>
      </c>
      <c r="M73" s="23">
        <f>'DAY 6'!M75</f>
        <v>0</v>
      </c>
      <c r="N73" s="24" t="str">
        <f t="shared" si="5"/>
        <v>—</v>
      </c>
      <c r="O73" s="23">
        <f>'DAY 6'!M88</f>
        <v>0</v>
      </c>
      <c r="P73" s="24" t="str">
        <f t="shared" si="6"/>
        <v>—</v>
      </c>
      <c r="Q73" s="23">
        <f>'DAY 6'!M101</f>
        <v>0</v>
      </c>
      <c r="R73" s="24" t="str">
        <f t="shared" si="7"/>
        <v>—</v>
      </c>
      <c r="S73" s="4"/>
      <c r="T73" s="4"/>
      <c r="U73" s="4"/>
      <c r="V73" s="4"/>
      <c r="W73" s="4"/>
      <c r="X73" s="4"/>
      <c r="Y73" s="4"/>
      <c r="Z73" s="4"/>
    </row>
    <row r="74" ht="18.0" customHeight="1">
      <c r="A74" s="17" t="s">
        <v>81</v>
      </c>
      <c r="B74" s="18" t="s">
        <v>84</v>
      </c>
      <c r="C74" s="19">
        <f>'DAY 6'!M11</f>
        <v>1350</v>
      </c>
      <c r="D74" s="20" t="s">
        <v>47</v>
      </c>
      <c r="E74" s="19">
        <f>'DAY 6'!M24</f>
        <v>760</v>
      </c>
      <c r="F74" s="20" t="str">
        <f t="shared" si="1"/>
        <v>DEFICIT</v>
      </c>
      <c r="G74" s="19">
        <f>'DAY 6'!M37</f>
        <v>900</v>
      </c>
      <c r="H74" s="20" t="str">
        <f t="shared" si="2"/>
        <v>RENDIMIENTO SUPERIOR</v>
      </c>
      <c r="I74" s="19">
        <f>'DAY 6'!M50</f>
        <v>900</v>
      </c>
      <c r="J74" s="20" t="str">
        <f t="shared" si="3"/>
        <v>MANTENIMIENTO</v>
      </c>
      <c r="K74" s="19">
        <f>'DAY 6'!M63</f>
        <v>0</v>
      </c>
      <c r="L74" s="20" t="str">
        <f t="shared" si="4"/>
        <v>—</v>
      </c>
      <c r="M74" s="19">
        <f>'DAY 6'!M76</f>
        <v>0</v>
      </c>
      <c r="N74" s="20" t="str">
        <f t="shared" si="5"/>
        <v>—</v>
      </c>
      <c r="O74" s="19">
        <f>'DAY 6'!M89</f>
        <v>0</v>
      </c>
      <c r="P74" s="20" t="str">
        <f t="shared" si="6"/>
        <v>—</v>
      </c>
      <c r="Q74" s="19">
        <f>'DAY 6'!M102</f>
        <v>0</v>
      </c>
      <c r="R74" s="20" t="str">
        <f t="shared" si="7"/>
        <v>—</v>
      </c>
      <c r="S74" s="4"/>
      <c r="T74" s="4"/>
      <c r="U74" s="4"/>
      <c r="V74" s="4"/>
      <c r="W74" s="4"/>
      <c r="X74" s="4"/>
      <c r="Y74" s="4"/>
      <c r="Z74" s="4"/>
    </row>
    <row r="75" ht="18.0" customHeight="1">
      <c r="A75" s="21" t="s">
        <v>81</v>
      </c>
      <c r="B75" s="22" t="s">
        <v>85</v>
      </c>
      <c r="C75" s="23">
        <f>'DAY 6'!M12</f>
        <v>540</v>
      </c>
      <c r="D75" s="24" t="s">
        <v>47</v>
      </c>
      <c r="E75" s="23">
        <f>'DAY 6'!M25</f>
        <v>540</v>
      </c>
      <c r="F75" s="24" t="str">
        <f t="shared" si="1"/>
        <v>MANTENIMIENTO</v>
      </c>
      <c r="G75" s="23">
        <f>'DAY 6'!M38</f>
        <v>720</v>
      </c>
      <c r="H75" s="24" t="str">
        <f t="shared" si="2"/>
        <v>RENDIMIENTO SUPERIOR</v>
      </c>
      <c r="I75" s="23">
        <f>'DAY 6'!M51</f>
        <v>720</v>
      </c>
      <c r="J75" s="24" t="str">
        <f t="shared" si="3"/>
        <v>MANTENIMIENTO</v>
      </c>
      <c r="K75" s="23">
        <f>'DAY 6'!M64</f>
        <v>0</v>
      </c>
      <c r="L75" s="24" t="str">
        <f t="shared" si="4"/>
        <v>—</v>
      </c>
      <c r="M75" s="23">
        <f>'DAY 6'!M77</f>
        <v>0</v>
      </c>
      <c r="N75" s="24" t="str">
        <f t="shared" si="5"/>
        <v>—</v>
      </c>
      <c r="O75" s="23">
        <f>'DAY 6'!M90</f>
        <v>0</v>
      </c>
      <c r="P75" s="24" t="str">
        <f t="shared" si="6"/>
        <v>—</v>
      </c>
      <c r="Q75" s="23">
        <f>'DAY 6'!M103</f>
        <v>0</v>
      </c>
      <c r="R75" s="24" t="str">
        <f t="shared" si="7"/>
        <v>—</v>
      </c>
      <c r="S75" s="4"/>
      <c r="T75" s="4"/>
      <c r="U75" s="4"/>
      <c r="V75" s="4"/>
      <c r="W75" s="4"/>
      <c r="X75" s="4"/>
      <c r="Y75" s="4"/>
      <c r="Z75" s="4"/>
    </row>
    <row r="76" ht="18.0" customHeight="1">
      <c r="A76" s="17" t="s">
        <v>81</v>
      </c>
      <c r="B76" s="18" t="s">
        <v>86</v>
      </c>
      <c r="C76" s="19">
        <f>'DAY 6'!M13</f>
        <v>3642.5</v>
      </c>
      <c r="D76" s="20" t="s">
        <v>47</v>
      </c>
      <c r="E76" s="19">
        <f>'DAY 6'!M26</f>
        <v>4185</v>
      </c>
      <c r="F76" s="20" t="str">
        <f t="shared" si="1"/>
        <v>RENDIMIENTO SUPERIOR</v>
      </c>
      <c r="G76" s="19">
        <f>'DAY 6'!M39</f>
        <v>2790</v>
      </c>
      <c r="H76" s="20" t="str">
        <f t="shared" si="2"/>
        <v>DEFICIT</v>
      </c>
      <c r="I76" s="19">
        <f>'DAY 6'!M52</f>
        <v>2790</v>
      </c>
      <c r="J76" s="20" t="str">
        <f t="shared" si="3"/>
        <v>MANTENIMIENTO</v>
      </c>
      <c r="K76" s="19">
        <f>'DAY 6'!M65</f>
        <v>0</v>
      </c>
      <c r="L76" s="20" t="str">
        <f t="shared" si="4"/>
        <v>—</v>
      </c>
      <c r="M76" s="19">
        <f>'DAY 6'!M78</f>
        <v>0</v>
      </c>
      <c r="N76" s="20" t="str">
        <f t="shared" si="5"/>
        <v>—</v>
      </c>
      <c r="O76" s="19">
        <f>'DAY 6'!M91</f>
        <v>0</v>
      </c>
      <c r="P76" s="20" t="str">
        <f t="shared" si="6"/>
        <v>—</v>
      </c>
      <c r="Q76" s="19">
        <f>'DAY 6'!M104</f>
        <v>0</v>
      </c>
      <c r="R76" s="20" t="str">
        <f t="shared" si="7"/>
        <v>—</v>
      </c>
      <c r="S76" s="4"/>
      <c r="T76" s="4"/>
      <c r="U76" s="4"/>
      <c r="V76" s="4"/>
      <c r="W76" s="4"/>
      <c r="X76" s="4"/>
      <c r="Y76" s="4"/>
      <c r="Z76" s="4"/>
    </row>
    <row r="77" ht="18.0" customHeight="1">
      <c r="A77" s="21" t="s">
        <v>81</v>
      </c>
      <c r="B77" s="22" t="s">
        <v>87</v>
      </c>
      <c r="C77" s="23">
        <f>'DAY 6'!M14</f>
        <v>720</v>
      </c>
      <c r="D77" s="24" t="s">
        <v>47</v>
      </c>
      <c r="E77" s="23">
        <f>'DAY 6'!M27</f>
        <v>760</v>
      </c>
      <c r="F77" s="24" t="str">
        <f t="shared" si="1"/>
        <v>RENDIMIENTO SUPERIOR</v>
      </c>
      <c r="G77" s="23">
        <f>'DAY 6'!M40</f>
        <v>860</v>
      </c>
      <c r="H77" s="24" t="str">
        <f t="shared" si="2"/>
        <v>RENDIMIENTO SUPERIOR</v>
      </c>
      <c r="I77" s="23">
        <f>'DAY 6'!M53</f>
        <v>900</v>
      </c>
      <c r="J77" s="24" t="str">
        <f t="shared" si="3"/>
        <v>RENDIMIENTO SUPERIOR</v>
      </c>
      <c r="K77" s="23">
        <f>'DAY 6'!M66</f>
        <v>0</v>
      </c>
      <c r="L77" s="24" t="str">
        <f t="shared" si="4"/>
        <v>—</v>
      </c>
      <c r="M77" s="23">
        <f>'DAY 6'!M79</f>
        <v>0</v>
      </c>
      <c r="N77" s="24" t="str">
        <f t="shared" si="5"/>
        <v>—</v>
      </c>
      <c r="O77" s="23">
        <f>'DAY 6'!M92</f>
        <v>0</v>
      </c>
      <c r="P77" s="24" t="str">
        <f t="shared" si="6"/>
        <v>—</v>
      </c>
      <c r="Q77" s="23">
        <f>'DAY 6'!M105</f>
        <v>0</v>
      </c>
      <c r="R77" s="24" t="str">
        <f t="shared" si="7"/>
        <v>—</v>
      </c>
      <c r="S77" s="4"/>
      <c r="T77" s="4"/>
      <c r="U77" s="4"/>
      <c r="V77" s="4"/>
      <c r="W77" s="4"/>
      <c r="X77" s="4"/>
      <c r="Y77" s="4"/>
      <c r="Z77" s="4"/>
    </row>
    <row r="78" ht="18.0" customHeight="1">
      <c r="A78" s="17" t="s">
        <v>81</v>
      </c>
      <c r="B78" s="18" t="s">
        <v>53</v>
      </c>
      <c r="C78" s="19">
        <f>'DAY 6'!M15</f>
        <v>2612.5</v>
      </c>
      <c r="D78" s="20" t="s">
        <v>47</v>
      </c>
      <c r="E78" s="19">
        <f>'DAY 6'!M28</f>
        <v>2875</v>
      </c>
      <c r="F78" s="20" t="str">
        <f t="shared" si="1"/>
        <v>RENDIMIENTO SUPERIOR</v>
      </c>
      <c r="G78" s="19">
        <f>'DAY 6'!M41</f>
        <v>2875</v>
      </c>
      <c r="H78" s="20" t="str">
        <f t="shared" si="2"/>
        <v>MANTENIMIENTO</v>
      </c>
      <c r="I78" s="19">
        <f>'DAY 6'!M54</f>
        <v>3105</v>
      </c>
      <c r="J78" s="20" t="str">
        <f t="shared" si="3"/>
        <v>RENDIMIENTO SUPERIOR</v>
      </c>
      <c r="K78" s="19">
        <f>'DAY 6'!M67</f>
        <v>0</v>
      </c>
      <c r="L78" s="20" t="str">
        <f t="shared" si="4"/>
        <v>—</v>
      </c>
      <c r="M78" s="19">
        <f>'DAY 6'!M80</f>
        <v>0</v>
      </c>
      <c r="N78" s="20" t="str">
        <f t="shared" si="5"/>
        <v>—</v>
      </c>
      <c r="O78" s="19">
        <f>'DAY 6'!M93</f>
        <v>0</v>
      </c>
      <c r="P78" s="20" t="str">
        <f t="shared" si="6"/>
        <v>—</v>
      </c>
      <c r="Q78" s="19">
        <f>'DAY 6'!M106</f>
        <v>0</v>
      </c>
      <c r="R78" s="20" t="str">
        <f t="shared" si="7"/>
        <v>—</v>
      </c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">
    <mergeCell ref="A1:R1"/>
    <mergeCell ref="A2:R2"/>
    <mergeCell ref="A4:R4"/>
    <mergeCell ref="D5:F5"/>
    <mergeCell ref="G5:I5"/>
    <mergeCell ref="J5:L5"/>
    <mergeCell ref="M5:O5"/>
    <mergeCell ref="J8:R8"/>
    <mergeCell ref="A30:R30"/>
    <mergeCell ref="A5:C5"/>
    <mergeCell ref="A6:C6"/>
    <mergeCell ref="D6:F6"/>
    <mergeCell ref="G6:I6"/>
    <mergeCell ref="J6:L6"/>
    <mergeCell ref="M6:O6"/>
    <mergeCell ref="A8:I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7.0"/>
    <col customWidth="1" min="3" max="3" width="16.0"/>
    <col customWidth="1" min="4" max="6" width="13.0"/>
    <col customWidth="1" min="7" max="7" width="14.0"/>
    <col customWidth="1" min="8" max="8" width="12.0"/>
    <col customWidth="1" min="9" max="9" width="18.0"/>
    <col customWidth="1" min="10" max="10" width="26.0"/>
  </cols>
  <sheetData>
    <row r="1" ht="33.75" customHeight="1">
      <c r="A1" s="25" t="s">
        <v>88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89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26" t="s">
        <v>90</v>
      </c>
      <c r="B3" s="2"/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27" t="s">
        <v>91</v>
      </c>
      <c r="B4" s="28">
        <v>53.7</v>
      </c>
      <c r="C4" s="27" t="s">
        <v>92</v>
      </c>
      <c r="D4" s="28">
        <v>12.0</v>
      </c>
      <c r="E4" s="27" t="s">
        <v>93</v>
      </c>
      <c r="F4" s="28" t="s">
        <v>94</v>
      </c>
      <c r="G4" s="29"/>
      <c r="H4" s="2"/>
      <c r="I4" s="2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15" t="s">
        <v>95</v>
      </c>
      <c r="B6" s="15" t="s">
        <v>96</v>
      </c>
      <c r="C6" s="15" t="s">
        <v>97</v>
      </c>
      <c r="D6" s="15" t="s">
        <v>98</v>
      </c>
      <c r="E6" s="15" t="s">
        <v>99</v>
      </c>
      <c r="F6" s="15" t="s">
        <v>100</v>
      </c>
      <c r="G6" s="15" t="s">
        <v>101</v>
      </c>
      <c r="H6" s="15" t="s">
        <v>102</v>
      </c>
      <c r="I6" s="15" t="s">
        <v>103</v>
      </c>
      <c r="J6" s="15" t="s">
        <v>104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7" t="s">
        <v>105</v>
      </c>
      <c r="B7" s="31">
        <v>53.7</v>
      </c>
      <c r="C7" s="31">
        <v>1.353</v>
      </c>
      <c r="D7" s="31">
        <v>124.1</v>
      </c>
      <c r="E7" s="31">
        <v>130.5</v>
      </c>
      <c r="F7" s="31">
        <v>26.6</v>
      </c>
      <c r="G7" s="31">
        <v>10.416</v>
      </c>
      <c r="H7" s="31">
        <v>7.0</v>
      </c>
      <c r="I7" s="11">
        <f t="shared" ref="I7:I10" si="1">IF(B7="","",ROUND($D$4-(($B$4-B7)/$B$4)*100,1))</f>
        <v>12</v>
      </c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1" t="s">
        <v>106</v>
      </c>
      <c r="B8" s="33">
        <v>53.3</v>
      </c>
      <c r="C8" s="33">
        <v>1.865</v>
      </c>
      <c r="D8" s="33">
        <v>143.5</v>
      </c>
      <c r="E8" s="33">
        <v>237.0</v>
      </c>
      <c r="F8" s="33">
        <v>36.6</v>
      </c>
      <c r="G8" s="33">
        <v>11.51</v>
      </c>
      <c r="H8" s="33">
        <v>7.0</v>
      </c>
      <c r="I8" s="21">
        <f t="shared" si="1"/>
        <v>11.3</v>
      </c>
      <c r="J8" s="3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7" t="s">
        <v>107</v>
      </c>
      <c r="B9" s="31">
        <v>53.9</v>
      </c>
      <c r="C9" s="33">
        <v>1.832</v>
      </c>
      <c r="D9" s="33">
        <v>142.5</v>
      </c>
      <c r="E9" s="33">
        <v>229.3</v>
      </c>
      <c r="F9" s="33">
        <v>20.8</v>
      </c>
      <c r="G9" s="33">
        <v>11.51</v>
      </c>
      <c r="H9" s="33">
        <v>7.0</v>
      </c>
      <c r="I9" s="11">
        <f t="shared" si="1"/>
        <v>12.4</v>
      </c>
      <c r="J9" s="3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1" t="s">
        <v>108</v>
      </c>
      <c r="B10" s="23">
        <v>54.0</v>
      </c>
      <c r="C10" s="33">
        <v>1.481</v>
      </c>
      <c r="D10" s="23">
        <v>121.6</v>
      </c>
      <c r="E10" s="23">
        <v>162.2</v>
      </c>
      <c r="F10" s="23">
        <v>30.1</v>
      </c>
      <c r="G10" s="23" t="s">
        <v>109</v>
      </c>
      <c r="H10" s="23">
        <v>8.0</v>
      </c>
      <c r="I10" s="21">
        <f t="shared" si="1"/>
        <v>12.6</v>
      </c>
      <c r="J10" s="34" t="s">
        <v>110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6" t="s">
        <v>111</v>
      </c>
      <c r="B11" s="16">
        <f t="shared" ref="B11:I11" si="2">IFERROR(AVERAGE(B7,B8,B9,B10),"")</f>
        <v>53.725</v>
      </c>
      <c r="C11" s="16">
        <f t="shared" si="2"/>
        <v>1.63275</v>
      </c>
      <c r="D11" s="16">
        <f t="shared" si="2"/>
        <v>132.925</v>
      </c>
      <c r="E11" s="16">
        <f t="shared" si="2"/>
        <v>189.75</v>
      </c>
      <c r="F11" s="16">
        <f t="shared" si="2"/>
        <v>28.525</v>
      </c>
      <c r="G11" s="16">
        <f t="shared" si="2"/>
        <v>11.14533333</v>
      </c>
      <c r="H11" s="16">
        <f t="shared" si="2"/>
        <v>7.25</v>
      </c>
      <c r="I11" s="16">
        <f t="shared" si="2"/>
        <v>12.075</v>
      </c>
      <c r="J11" s="3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7" t="s">
        <v>112</v>
      </c>
      <c r="B13" s="19">
        <v>53.8</v>
      </c>
      <c r="C13" s="19">
        <v>1.631</v>
      </c>
      <c r="D13" s="19">
        <v>124.4</v>
      </c>
      <c r="E13" s="19">
        <v>213.8</v>
      </c>
      <c r="F13" s="19">
        <v>30.2</v>
      </c>
      <c r="G13" s="19">
        <v>6.319</v>
      </c>
      <c r="H13" s="19">
        <v>7.0</v>
      </c>
      <c r="I13" s="11">
        <f t="shared" ref="I13:I19" si="3">IF(B13="","",ROUND($D$4-(($B$4-B13)/$B$4)*100,1))</f>
        <v>12.2</v>
      </c>
      <c r="J13" s="3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1" t="s">
        <v>113</v>
      </c>
      <c r="B14" s="23">
        <v>52.9</v>
      </c>
      <c r="C14" s="23">
        <v>1.669</v>
      </c>
      <c r="D14" s="23">
        <v>136.1</v>
      </c>
      <c r="E14" s="23">
        <v>192.8</v>
      </c>
      <c r="F14" s="23">
        <v>29.4</v>
      </c>
      <c r="G14" s="23">
        <v>12.425</v>
      </c>
      <c r="H14" s="23">
        <v>10.0</v>
      </c>
      <c r="I14" s="21">
        <f t="shared" si="3"/>
        <v>10.5</v>
      </c>
      <c r="J14" s="3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7" t="s">
        <v>114</v>
      </c>
      <c r="B15" s="19">
        <v>52.6</v>
      </c>
      <c r="C15" s="19">
        <v>1.655</v>
      </c>
      <c r="D15" s="19">
        <v>132.8</v>
      </c>
      <c r="E15" s="19">
        <v>193.4</v>
      </c>
      <c r="F15" s="19">
        <v>33.5</v>
      </c>
      <c r="G15" s="19">
        <v>6.667</v>
      </c>
      <c r="H15" s="19">
        <v>8.0</v>
      </c>
      <c r="I15" s="11">
        <f t="shared" si="3"/>
        <v>10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1" t="s">
        <v>115</v>
      </c>
      <c r="B16" s="23">
        <v>52.0</v>
      </c>
      <c r="C16" s="23">
        <v>1.867</v>
      </c>
      <c r="D16" s="23">
        <v>125.2</v>
      </c>
      <c r="E16" s="23">
        <v>137.6</v>
      </c>
      <c r="F16" s="23">
        <v>35.8</v>
      </c>
      <c r="G16" s="23">
        <v>12.433</v>
      </c>
      <c r="H16" s="23">
        <v>8.0</v>
      </c>
      <c r="I16" s="21">
        <f t="shared" si="3"/>
        <v>8.8</v>
      </c>
      <c r="J16" s="3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7" t="s">
        <v>116</v>
      </c>
      <c r="B17" s="19">
        <v>52.7</v>
      </c>
      <c r="C17" s="19">
        <v>1.601</v>
      </c>
      <c r="D17" s="19">
        <v>173.9</v>
      </c>
      <c r="E17" s="19">
        <v>162.1</v>
      </c>
      <c r="F17" s="19">
        <v>25.7</v>
      </c>
      <c r="G17" s="19">
        <v>8.827</v>
      </c>
      <c r="H17" s="19">
        <v>10.0</v>
      </c>
      <c r="I17" s="11">
        <f t="shared" si="3"/>
        <v>10.1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1" t="s">
        <v>117</v>
      </c>
      <c r="B18" s="23">
        <v>53.2</v>
      </c>
      <c r="C18" s="23">
        <v>1.421</v>
      </c>
      <c r="D18" s="23">
        <v>121.7</v>
      </c>
      <c r="E18" s="23">
        <v>169.1</v>
      </c>
      <c r="F18" s="23">
        <v>21.9</v>
      </c>
      <c r="G18" s="23">
        <v>4.649</v>
      </c>
      <c r="H18" s="23">
        <v>8.0</v>
      </c>
      <c r="I18" s="21">
        <f t="shared" si="3"/>
        <v>11.1</v>
      </c>
      <c r="J18" s="3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7" t="s">
        <v>118</v>
      </c>
      <c r="B19" s="19">
        <v>52.7</v>
      </c>
      <c r="C19" s="19">
        <v>1.603</v>
      </c>
      <c r="D19" s="19">
        <v>126.1</v>
      </c>
      <c r="E19" s="19">
        <v>172.3</v>
      </c>
      <c r="F19" s="19">
        <v>25.9</v>
      </c>
      <c r="G19" s="19">
        <v>7.953</v>
      </c>
      <c r="H19" s="19">
        <v>6.0</v>
      </c>
      <c r="I19" s="11">
        <f t="shared" si="3"/>
        <v>10.1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6" t="s">
        <v>119</v>
      </c>
      <c r="B20" s="16">
        <f t="shared" ref="B20:I20" si="4">IFERROR(AVERAGE(B13,B14,B15,B16,B17,B18,B19),"")</f>
        <v>52.84285714</v>
      </c>
      <c r="C20" s="16">
        <f t="shared" si="4"/>
        <v>1.635285714</v>
      </c>
      <c r="D20" s="16">
        <f t="shared" si="4"/>
        <v>134.3142857</v>
      </c>
      <c r="E20" s="16">
        <f t="shared" si="4"/>
        <v>177.3</v>
      </c>
      <c r="F20" s="16">
        <f t="shared" si="4"/>
        <v>28.91428571</v>
      </c>
      <c r="G20" s="16">
        <f t="shared" si="4"/>
        <v>8.467571429</v>
      </c>
      <c r="H20" s="16">
        <f t="shared" si="4"/>
        <v>8.142857143</v>
      </c>
      <c r="I20" s="16">
        <f t="shared" si="4"/>
        <v>10.4</v>
      </c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17" t="s">
        <v>120</v>
      </c>
      <c r="B21" s="11">
        <f>IFERROR(B20-B11,"")</f>
        <v>-0.8821428571</v>
      </c>
      <c r="C21" s="36"/>
      <c r="D21" s="36"/>
      <c r="E21" s="36"/>
      <c r="F21" s="36"/>
      <c r="G21" s="36"/>
      <c r="H21" s="36"/>
      <c r="I21" s="36"/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3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7" t="s">
        <v>121</v>
      </c>
      <c r="B23" s="19">
        <v>53.2</v>
      </c>
      <c r="C23" s="19">
        <v>1.864</v>
      </c>
      <c r="D23" s="19">
        <v>132.2</v>
      </c>
      <c r="E23" s="19" t="s">
        <v>122</v>
      </c>
      <c r="F23" s="19">
        <v>37.9</v>
      </c>
      <c r="G23" s="19">
        <v>5.907</v>
      </c>
      <c r="H23" s="19">
        <v>6.0</v>
      </c>
      <c r="I23" s="11">
        <f t="shared" ref="I23:I29" si="5">IF(B23="","",ROUND($D$4-(($B$4-B23)/$B$4)*100,1))</f>
        <v>11.1</v>
      </c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1" t="s">
        <v>123</v>
      </c>
      <c r="B24" s="23">
        <v>53.4</v>
      </c>
      <c r="C24" s="23">
        <v>1.773</v>
      </c>
      <c r="D24" s="23">
        <v>122.5</v>
      </c>
      <c r="E24" s="23">
        <v>165.3</v>
      </c>
      <c r="F24" s="23">
        <v>35.5</v>
      </c>
      <c r="G24" s="23">
        <v>6.772</v>
      </c>
      <c r="H24" s="23">
        <v>6.0</v>
      </c>
      <c r="I24" s="21">
        <f t="shared" si="5"/>
        <v>11.4</v>
      </c>
      <c r="J24" s="3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7" t="s">
        <v>124</v>
      </c>
      <c r="B25" s="19">
        <v>53.3</v>
      </c>
      <c r="C25" s="19">
        <v>1.886</v>
      </c>
      <c r="D25" s="19">
        <v>134.6</v>
      </c>
      <c r="E25" s="19">
        <v>250.4</v>
      </c>
      <c r="F25" s="19">
        <v>34.6</v>
      </c>
      <c r="G25" s="19">
        <v>16.689</v>
      </c>
      <c r="H25" s="19">
        <v>3.59</v>
      </c>
      <c r="I25" s="11">
        <f t="shared" si="5"/>
        <v>11.3</v>
      </c>
      <c r="J25" s="32" t="s">
        <v>125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1" t="s">
        <v>126</v>
      </c>
      <c r="B26" s="23">
        <v>52.8</v>
      </c>
      <c r="C26" s="23">
        <v>1.689</v>
      </c>
      <c r="D26" s="23">
        <v>116.7</v>
      </c>
      <c r="E26" s="23">
        <v>212.1</v>
      </c>
      <c r="F26" s="23">
        <v>50.2</v>
      </c>
      <c r="G26" s="23">
        <v>14.624</v>
      </c>
      <c r="H26" s="23">
        <v>7.11</v>
      </c>
      <c r="I26" s="21">
        <f t="shared" si="5"/>
        <v>10.3</v>
      </c>
      <c r="J26" s="34" t="s">
        <v>127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7" t="s">
        <v>128</v>
      </c>
      <c r="B27" s="19">
        <v>53.2</v>
      </c>
      <c r="C27" s="19">
        <v>1.758</v>
      </c>
      <c r="D27" s="19">
        <v>145.0</v>
      </c>
      <c r="E27" s="19">
        <v>170.0</v>
      </c>
      <c r="F27" s="19">
        <v>29.0</v>
      </c>
      <c r="G27" s="19">
        <v>15.977</v>
      </c>
      <c r="H27" s="19">
        <v>6.52</v>
      </c>
      <c r="I27" s="11">
        <f t="shared" si="5"/>
        <v>11.1</v>
      </c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1" t="s">
        <v>129</v>
      </c>
      <c r="B28" s="23">
        <v>52.9</v>
      </c>
      <c r="C28" s="23">
        <v>1.375</v>
      </c>
      <c r="D28" s="23">
        <v>132.0</v>
      </c>
      <c r="E28" s="23">
        <v>114.8</v>
      </c>
      <c r="F28" s="23">
        <v>35.1</v>
      </c>
      <c r="G28" s="23">
        <v>9050.0</v>
      </c>
      <c r="H28" s="23">
        <v>7.32</v>
      </c>
      <c r="I28" s="21">
        <f t="shared" si="5"/>
        <v>10.5</v>
      </c>
      <c r="J28" s="3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7" t="s">
        <v>130</v>
      </c>
      <c r="B29" s="19">
        <v>53.3</v>
      </c>
      <c r="C29" s="19">
        <v>1.836</v>
      </c>
      <c r="D29" s="19">
        <v>141.5</v>
      </c>
      <c r="E29" s="19">
        <v>253.0</v>
      </c>
      <c r="F29" s="19">
        <v>29.3</v>
      </c>
      <c r="G29" s="38">
        <v>14.982</v>
      </c>
      <c r="H29" s="19">
        <v>7.12</v>
      </c>
      <c r="I29" s="11">
        <f t="shared" si="5"/>
        <v>11.3</v>
      </c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16" t="s">
        <v>131</v>
      </c>
      <c r="B30" s="16">
        <f t="shared" ref="B30:I30" si="6">IFERROR(AVERAGE(B23,B24,B25,B26,B27,B28,B29),"")</f>
        <v>53.15714286</v>
      </c>
      <c r="C30" s="16">
        <f t="shared" si="6"/>
        <v>1.740142857</v>
      </c>
      <c r="D30" s="16">
        <f t="shared" si="6"/>
        <v>132.0714286</v>
      </c>
      <c r="E30" s="16">
        <f t="shared" si="6"/>
        <v>194.2666667</v>
      </c>
      <c r="F30" s="16">
        <f t="shared" si="6"/>
        <v>35.94285714</v>
      </c>
      <c r="G30" s="16">
        <f t="shared" si="6"/>
        <v>1303.564429</v>
      </c>
      <c r="H30" s="16">
        <f t="shared" si="6"/>
        <v>6.237142857</v>
      </c>
      <c r="I30" s="16">
        <f t="shared" si="6"/>
        <v>11</v>
      </c>
      <c r="J30" s="3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17" t="s">
        <v>120</v>
      </c>
      <c r="B31" s="11">
        <f>IFERROR(B30-B20,"")</f>
        <v>0.3142857143</v>
      </c>
      <c r="C31" s="36"/>
      <c r="D31" s="36"/>
      <c r="E31" s="36"/>
      <c r="F31" s="36"/>
      <c r="G31" s="36"/>
      <c r="H31" s="36"/>
      <c r="I31" s="36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7" t="s">
        <v>132</v>
      </c>
      <c r="B33" s="19">
        <v>53.3</v>
      </c>
      <c r="C33" s="19">
        <v>1.475</v>
      </c>
      <c r="D33" s="38">
        <v>138.7</v>
      </c>
      <c r="E33" s="38">
        <v>169.4</v>
      </c>
      <c r="F33" s="38">
        <v>12.9</v>
      </c>
      <c r="G33" s="38">
        <v>10.767</v>
      </c>
      <c r="H33" s="38">
        <v>7.12</v>
      </c>
      <c r="I33" s="11">
        <f t="shared" ref="I33:I36" si="7">IF(B33="","",ROUND($D$4-(($B$4-B33)/$B$4)*100,1))</f>
        <v>11.3</v>
      </c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21" t="s">
        <v>133</v>
      </c>
      <c r="B34" s="39">
        <v>53.4</v>
      </c>
      <c r="C34" s="39">
        <v>1.361</v>
      </c>
      <c r="D34" s="39">
        <v>125.0</v>
      </c>
      <c r="E34" s="39">
        <v>147.7</v>
      </c>
      <c r="F34" s="39">
        <v>17.9</v>
      </c>
      <c r="G34" s="39">
        <v>14.982</v>
      </c>
      <c r="H34" s="39">
        <v>7.48</v>
      </c>
      <c r="I34" s="21">
        <f t="shared" si="7"/>
        <v>11.4</v>
      </c>
      <c r="J34" s="3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7" t="s">
        <v>134</v>
      </c>
      <c r="B35" s="38">
        <v>53.0</v>
      </c>
      <c r="C35" s="38">
        <v>1.398</v>
      </c>
      <c r="D35" s="38">
        <v>117.1</v>
      </c>
      <c r="E35" s="38">
        <v>146.9</v>
      </c>
      <c r="F35" s="38">
        <v>34.2</v>
      </c>
      <c r="G35" s="38">
        <v>16.791</v>
      </c>
      <c r="H35" s="38">
        <v>6.5</v>
      </c>
      <c r="I35" s="11">
        <f t="shared" si="7"/>
        <v>10.7</v>
      </c>
      <c r="J35" s="3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21" t="s">
        <v>135</v>
      </c>
      <c r="B36" s="39">
        <v>52.8</v>
      </c>
      <c r="C36" s="40">
        <v>1657.0</v>
      </c>
      <c r="D36" s="39">
        <v>164.5</v>
      </c>
      <c r="E36" s="39">
        <v>178.5</v>
      </c>
      <c r="F36" s="39">
        <v>36.4</v>
      </c>
      <c r="G36" s="39">
        <v>14.303</v>
      </c>
      <c r="H36" s="39">
        <v>6.58</v>
      </c>
      <c r="I36" s="21">
        <f t="shared" si="7"/>
        <v>10.3</v>
      </c>
      <c r="J36" s="3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7" t="s">
        <v>136</v>
      </c>
      <c r="B37" s="38">
        <v>52.8</v>
      </c>
      <c r="C37" s="41">
        <v>1355.0</v>
      </c>
      <c r="D37" s="38">
        <v>121.7</v>
      </c>
      <c r="E37" s="38">
        <v>167.4</v>
      </c>
      <c r="F37" s="38">
        <v>16.8</v>
      </c>
      <c r="G37" s="19"/>
      <c r="H37" s="19"/>
      <c r="I37" s="11">
        <f>IF(B37="","",ROUND(C26-(($B$4-B37)/$B$4)*100,1))</f>
        <v>0</v>
      </c>
      <c r="J37" s="3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21" t="s">
        <v>137</v>
      </c>
      <c r="B38" s="39">
        <v>52.8</v>
      </c>
      <c r="C38" s="40">
        <v>1450.0</v>
      </c>
      <c r="D38" s="39">
        <v>140.0</v>
      </c>
      <c r="E38" s="39">
        <v>125.0</v>
      </c>
      <c r="F38" s="39">
        <v>30.0</v>
      </c>
      <c r="G38" s="23"/>
      <c r="H38" s="23"/>
      <c r="I38" s="21">
        <f t="shared" ref="I38:I39" si="8">IF(B38="","",ROUND($D$4-(($B$4-B38)/$B$4)*100,1))</f>
        <v>10.3</v>
      </c>
      <c r="J38" s="3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7" t="s">
        <v>138</v>
      </c>
      <c r="B39" s="38">
        <v>52.8</v>
      </c>
      <c r="C39" s="41">
        <v>1140.0</v>
      </c>
      <c r="D39" s="38">
        <v>111.0</v>
      </c>
      <c r="E39" s="38">
        <v>91.4</v>
      </c>
      <c r="F39" s="38">
        <v>34.8</v>
      </c>
      <c r="G39" s="19"/>
      <c r="H39" s="19"/>
      <c r="I39" s="11">
        <f t="shared" si="8"/>
        <v>10.3</v>
      </c>
      <c r="J39" s="3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16" t="s">
        <v>139</v>
      </c>
      <c r="B40" s="16">
        <f t="shared" ref="B40:I40" si="9">IFERROR(AVERAGE(B33,B34,B35,B36,B37,B38,B39),"")</f>
        <v>52.98571429</v>
      </c>
      <c r="C40" s="16">
        <f t="shared" si="9"/>
        <v>800.8905714</v>
      </c>
      <c r="D40" s="16">
        <f t="shared" si="9"/>
        <v>131.1428571</v>
      </c>
      <c r="E40" s="16">
        <f t="shared" si="9"/>
        <v>146.6142857</v>
      </c>
      <c r="F40" s="16">
        <f t="shared" si="9"/>
        <v>26.14285714</v>
      </c>
      <c r="G40" s="16">
        <f t="shared" si="9"/>
        <v>14.21075</v>
      </c>
      <c r="H40" s="16">
        <f t="shared" si="9"/>
        <v>6.92</v>
      </c>
      <c r="I40" s="16">
        <f t="shared" si="9"/>
        <v>9.185714286</v>
      </c>
      <c r="J40" s="3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75" customHeight="1">
      <c r="A41" s="17" t="s">
        <v>120</v>
      </c>
      <c r="B41" s="11">
        <f>IFERROR(B40-B30,"")</f>
        <v>-0.1714285714</v>
      </c>
      <c r="C41" s="36"/>
      <c r="D41" s="36"/>
      <c r="E41" s="36"/>
      <c r="F41" s="36"/>
      <c r="G41" s="36"/>
      <c r="H41" s="36"/>
      <c r="I41" s="36"/>
      <c r="J41" s="3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7" t="s">
        <v>140</v>
      </c>
      <c r="B43" s="38">
        <v>52.8</v>
      </c>
      <c r="C43" s="38">
        <v>1.783</v>
      </c>
      <c r="D43" s="38">
        <v>123.5</v>
      </c>
      <c r="E43" s="38">
        <v>201.6</v>
      </c>
      <c r="F43" s="38">
        <v>26.4</v>
      </c>
      <c r="G43" s="19"/>
      <c r="H43" s="19"/>
      <c r="I43" s="11">
        <f t="shared" ref="I43:I49" si="10">IF(B43="","",ROUND($D$4-(($B$4-B43)/$B$4)*100,1))</f>
        <v>10.3</v>
      </c>
      <c r="J43" s="3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21" t="s">
        <v>141</v>
      </c>
      <c r="B44" s="39">
        <v>53.3</v>
      </c>
      <c r="C44" s="39">
        <v>1.938</v>
      </c>
      <c r="D44" s="39">
        <v>147.1</v>
      </c>
      <c r="E44" s="39">
        <v>245.5</v>
      </c>
      <c r="F44" s="39">
        <v>31.8</v>
      </c>
      <c r="G44" s="23"/>
      <c r="H44" s="23"/>
      <c r="I44" s="21">
        <f t="shared" si="10"/>
        <v>11.3</v>
      </c>
      <c r="J44" s="3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7" t="s">
        <v>142</v>
      </c>
      <c r="B45" s="38">
        <v>53.4</v>
      </c>
      <c r="C45" s="19"/>
      <c r="D45" s="19"/>
      <c r="E45" s="19"/>
      <c r="F45" s="19"/>
      <c r="G45" s="19"/>
      <c r="H45" s="19"/>
      <c r="I45" s="11">
        <f t="shared" si="10"/>
        <v>11.4</v>
      </c>
      <c r="J45" s="3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21" t="s">
        <v>143</v>
      </c>
      <c r="B46" s="23"/>
      <c r="C46" s="23"/>
      <c r="D46" s="23"/>
      <c r="E46" s="23"/>
      <c r="F46" s="23"/>
      <c r="G46" s="23"/>
      <c r="H46" s="23"/>
      <c r="I46" s="21" t="str">
        <f t="shared" si="10"/>
        <v/>
      </c>
      <c r="J46" s="3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7" t="s">
        <v>144</v>
      </c>
      <c r="B47" s="19"/>
      <c r="C47" s="19"/>
      <c r="D47" s="19"/>
      <c r="E47" s="19"/>
      <c r="F47" s="19"/>
      <c r="G47" s="19"/>
      <c r="H47" s="19"/>
      <c r="I47" s="11" t="str">
        <f t="shared" si="10"/>
        <v/>
      </c>
      <c r="J47" s="32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21" t="s">
        <v>145</v>
      </c>
      <c r="B48" s="23"/>
      <c r="C48" s="23"/>
      <c r="D48" s="23"/>
      <c r="E48" s="23"/>
      <c r="F48" s="23"/>
      <c r="G48" s="23"/>
      <c r="H48" s="23"/>
      <c r="I48" s="21" t="str">
        <f t="shared" si="10"/>
        <v/>
      </c>
      <c r="J48" s="3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17" t="s">
        <v>146</v>
      </c>
      <c r="B49" s="19"/>
      <c r="C49" s="19"/>
      <c r="D49" s="19"/>
      <c r="E49" s="19"/>
      <c r="F49" s="19"/>
      <c r="G49" s="19"/>
      <c r="H49" s="19"/>
      <c r="I49" s="11" t="str">
        <f t="shared" si="10"/>
        <v/>
      </c>
      <c r="J49" s="32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16" t="s">
        <v>147</v>
      </c>
      <c r="B50" s="16">
        <f t="shared" ref="B50:I50" si="11">IFERROR(AVERAGE(B43,B44,B45,B46,B47,B48,B49),"")</f>
        <v>53.16666667</v>
      </c>
      <c r="C50" s="16">
        <f t="shared" si="11"/>
        <v>1.8605</v>
      </c>
      <c r="D50" s="16">
        <f t="shared" si="11"/>
        <v>135.3</v>
      </c>
      <c r="E50" s="16">
        <f t="shared" si="11"/>
        <v>223.55</v>
      </c>
      <c r="F50" s="16">
        <f t="shared" si="11"/>
        <v>29.1</v>
      </c>
      <c r="G50" s="16" t="str">
        <f t="shared" si="11"/>
        <v/>
      </c>
      <c r="H50" s="16" t="str">
        <f t="shared" si="11"/>
        <v/>
      </c>
      <c r="I50" s="16">
        <f t="shared" si="11"/>
        <v>11</v>
      </c>
      <c r="J50" s="3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75" customHeight="1">
      <c r="A51" s="17" t="s">
        <v>120</v>
      </c>
      <c r="B51" s="11">
        <f>IFERROR(B50-B40,"")</f>
        <v>0.180952381</v>
      </c>
      <c r="C51" s="36"/>
      <c r="D51" s="36"/>
      <c r="E51" s="36"/>
      <c r="F51" s="36"/>
      <c r="G51" s="36"/>
      <c r="H51" s="36"/>
      <c r="I51" s="36"/>
      <c r="J51" s="3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17" t="s">
        <v>148</v>
      </c>
      <c r="B53" s="19"/>
      <c r="C53" s="19"/>
      <c r="D53" s="19"/>
      <c r="E53" s="19"/>
      <c r="F53" s="19"/>
      <c r="G53" s="19"/>
      <c r="H53" s="19"/>
      <c r="I53" s="11" t="str">
        <f t="shared" ref="I53:I59" si="12">IF(B53="","",ROUND($D$4-(($B$4-B53)/$B$4)*100,1))</f>
        <v/>
      </c>
      <c r="J53" s="32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21" t="s">
        <v>149</v>
      </c>
      <c r="B54" s="23"/>
      <c r="C54" s="23"/>
      <c r="D54" s="23"/>
      <c r="E54" s="23"/>
      <c r="F54" s="23"/>
      <c r="G54" s="23"/>
      <c r="H54" s="23"/>
      <c r="I54" s="21" t="str">
        <f t="shared" si="12"/>
        <v/>
      </c>
      <c r="J54" s="3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17" t="s">
        <v>150</v>
      </c>
      <c r="B55" s="19"/>
      <c r="C55" s="19"/>
      <c r="D55" s="19"/>
      <c r="E55" s="19"/>
      <c r="F55" s="19"/>
      <c r="G55" s="19"/>
      <c r="H55" s="19"/>
      <c r="I55" s="11" t="str">
        <f t="shared" si="12"/>
        <v/>
      </c>
      <c r="J55" s="32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21" t="s">
        <v>151</v>
      </c>
      <c r="B56" s="23"/>
      <c r="C56" s="23"/>
      <c r="D56" s="23"/>
      <c r="E56" s="23"/>
      <c r="F56" s="23"/>
      <c r="G56" s="23"/>
      <c r="H56" s="23"/>
      <c r="I56" s="21" t="str">
        <f t="shared" si="12"/>
        <v/>
      </c>
      <c r="J56" s="3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17" t="s">
        <v>152</v>
      </c>
      <c r="B57" s="19"/>
      <c r="C57" s="19"/>
      <c r="D57" s="19"/>
      <c r="E57" s="19"/>
      <c r="F57" s="19"/>
      <c r="G57" s="19"/>
      <c r="H57" s="19"/>
      <c r="I57" s="11" t="str">
        <f t="shared" si="12"/>
        <v/>
      </c>
      <c r="J57" s="32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21" t="s">
        <v>153</v>
      </c>
      <c r="B58" s="23"/>
      <c r="C58" s="23"/>
      <c r="D58" s="23"/>
      <c r="E58" s="23"/>
      <c r="F58" s="23"/>
      <c r="G58" s="23"/>
      <c r="H58" s="23"/>
      <c r="I58" s="21" t="str">
        <f t="shared" si="12"/>
        <v/>
      </c>
      <c r="J58" s="3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17" t="s">
        <v>154</v>
      </c>
      <c r="B59" s="19"/>
      <c r="C59" s="19"/>
      <c r="D59" s="19"/>
      <c r="E59" s="19"/>
      <c r="F59" s="19"/>
      <c r="G59" s="19"/>
      <c r="H59" s="19"/>
      <c r="I59" s="11" t="str">
        <f t="shared" si="12"/>
        <v/>
      </c>
      <c r="J59" s="32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16" t="s">
        <v>155</v>
      </c>
      <c r="B60" s="16" t="str">
        <f t="shared" ref="B60:I60" si="13">IFERROR(AVERAGE(B53,B54,B55,B56,B57,B58,B59),"")</f>
        <v/>
      </c>
      <c r="C60" s="16" t="str">
        <f t="shared" si="13"/>
        <v/>
      </c>
      <c r="D60" s="16" t="str">
        <f t="shared" si="13"/>
        <v/>
      </c>
      <c r="E60" s="16" t="str">
        <f t="shared" si="13"/>
        <v/>
      </c>
      <c r="F60" s="16" t="str">
        <f t="shared" si="13"/>
        <v/>
      </c>
      <c r="G60" s="16" t="str">
        <f t="shared" si="13"/>
        <v/>
      </c>
      <c r="H60" s="16" t="str">
        <f t="shared" si="13"/>
        <v/>
      </c>
      <c r="I60" s="16" t="str">
        <f t="shared" si="13"/>
        <v/>
      </c>
      <c r="J60" s="3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7.75" customHeight="1">
      <c r="A61" s="17" t="s">
        <v>120</v>
      </c>
      <c r="B61" s="11">
        <f>IFERROR(B60-B50,"")</f>
        <v>-53.16666667</v>
      </c>
      <c r="C61" s="36"/>
      <c r="D61" s="36"/>
      <c r="E61" s="36"/>
      <c r="F61" s="36"/>
      <c r="G61" s="36"/>
      <c r="H61" s="36"/>
      <c r="I61" s="36"/>
      <c r="J61" s="3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17" t="s">
        <v>156</v>
      </c>
      <c r="B63" s="19"/>
      <c r="C63" s="19"/>
      <c r="D63" s="19"/>
      <c r="E63" s="19"/>
      <c r="F63" s="19"/>
      <c r="G63" s="19"/>
      <c r="H63" s="19"/>
      <c r="I63" s="11" t="str">
        <f t="shared" ref="I63:I69" si="14">IF(B63="","",ROUND($D$4-(($B$4-B63)/$B$4)*100,1))</f>
        <v/>
      </c>
      <c r="J63" s="32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21" t="s">
        <v>157</v>
      </c>
      <c r="B64" s="23"/>
      <c r="C64" s="23"/>
      <c r="D64" s="23"/>
      <c r="E64" s="23"/>
      <c r="F64" s="23"/>
      <c r="G64" s="23"/>
      <c r="H64" s="23"/>
      <c r="I64" s="21" t="str">
        <f t="shared" si="14"/>
        <v/>
      </c>
      <c r="J64" s="3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7" t="s">
        <v>158</v>
      </c>
      <c r="B65" s="19"/>
      <c r="C65" s="19"/>
      <c r="D65" s="19"/>
      <c r="E65" s="19"/>
      <c r="F65" s="19"/>
      <c r="G65" s="19"/>
      <c r="H65" s="19"/>
      <c r="I65" s="11" t="str">
        <f t="shared" si="14"/>
        <v/>
      </c>
      <c r="J65" s="32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21" t="s">
        <v>159</v>
      </c>
      <c r="B66" s="23"/>
      <c r="C66" s="23"/>
      <c r="D66" s="23"/>
      <c r="E66" s="23"/>
      <c r="F66" s="23"/>
      <c r="G66" s="23"/>
      <c r="H66" s="23"/>
      <c r="I66" s="21" t="str">
        <f t="shared" si="14"/>
        <v/>
      </c>
      <c r="J66" s="3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7" t="s">
        <v>160</v>
      </c>
      <c r="B67" s="19"/>
      <c r="C67" s="19"/>
      <c r="D67" s="19"/>
      <c r="E67" s="19"/>
      <c r="F67" s="19"/>
      <c r="G67" s="19"/>
      <c r="H67" s="19"/>
      <c r="I67" s="11" t="str">
        <f t="shared" si="14"/>
        <v/>
      </c>
      <c r="J67" s="32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21" t="s">
        <v>161</v>
      </c>
      <c r="B68" s="23"/>
      <c r="C68" s="23"/>
      <c r="D68" s="23"/>
      <c r="E68" s="23"/>
      <c r="F68" s="23"/>
      <c r="G68" s="23"/>
      <c r="H68" s="23"/>
      <c r="I68" s="21" t="str">
        <f t="shared" si="14"/>
        <v/>
      </c>
      <c r="J68" s="3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17" t="s">
        <v>162</v>
      </c>
      <c r="B69" s="19"/>
      <c r="C69" s="19"/>
      <c r="D69" s="19"/>
      <c r="E69" s="19"/>
      <c r="F69" s="19"/>
      <c r="G69" s="19"/>
      <c r="H69" s="19"/>
      <c r="I69" s="11" t="str">
        <f t="shared" si="14"/>
        <v/>
      </c>
      <c r="J69" s="32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16" t="s">
        <v>163</v>
      </c>
      <c r="B70" s="16" t="str">
        <f t="shared" ref="B70:I70" si="15">IFERROR(AVERAGE(B63,B64,B65,B66,B67,B68,B69),"")</f>
        <v/>
      </c>
      <c r="C70" s="16" t="str">
        <f t="shared" si="15"/>
        <v/>
      </c>
      <c r="D70" s="16" t="str">
        <f t="shared" si="15"/>
        <v/>
      </c>
      <c r="E70" s="16" t="str">
        <f t="shared" si="15"/>
        <v/>
      </c>
      <c r="F70" s="16" t="str">
        <f t="shared" si="15"/>
        <v/>
      </c>
      <c r="G70" s="16" t="str">
        <f t="shared" si="15"/>
        <v/>
      </c>
      <c r="H70" s="16" t="str">
        <f t="shared" si="15"/>
        <v/>
      </c>
      <c r="I70" s="16" t="str">
        <f t="shared" si="15"/>
        <v/>
      </c>
      <c r="J70" s="3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7.75" customHeight="1">
      <c r="A71" s="17" t="s">
        <v>120</v>
      </c>
      <c r="B71" s="11">
        <f>IFERROR(B70-B60,"")</f>
        <v>0</v>
      </c>
      <c r="C71" s="36"/>
      <c r="D71" s="36"/>
      <c r="E71" s="36"/>
      <c r="F71" s="36"/>
      <c r="G71" s="36"/>
      <c r="H71" s="36"/>
      <c r="I71" s="36"/>
      <c r="J71" s="3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17" t="s">
        <v>164</v>
      </c>
      <c r="B73" s="19"/>
      <c r="C73" s="19"/>
      <c r="D73" s="19"/>
      <c r="E73" s="19"/>
      <c r="F73" s="19"/>
      <c r="G73" s="19"/>
      <c r="H73" s="19"/>
      <c r="I73" s="11" t="str">
        <f t="shared" ref="I73:I79" si="16">IF(B73="","",ROUND($D$4-(($B$4-B73)/$B$4)*100,1))</f>
        <v/>
      </c>
      <c r="J73" s="32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21" t="s">
        <v>165</v>
      </c>
      <c r="B74" s="23"/>
      <c r="C74" s="23"/>
      <c r="D74" s="23"/>
      <c r="E74" s="23"/>
      <c r="F74" s="23"/>
      <c r="G74" s="23"/>
      <c r="H74" s="23"/>
      <c r="I74" s="21" t="str">
        <f t="shared" si="16"/>
        <v/>
      </c>
      <c r="J74" s="3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17" t="s">
        <v>166</v>
      </c>
      <c r="B75" s="19"/>
      <c r="C75" s="19"/>
      <c r="D75" s="19"/>
      <c r="E75" s="19"/>
      <c r="F75" s="19"/>
      <c r="G75" s="19"/>
      <c r="H75" s="19"/>
      <c r="I75" s="11" t="str">
        <f t="shared" si="16"/>
        <v/>
      </c>
      <c r="J75" s="32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21" t="s">
        <v>167</v>
      </c>
      <c r="B76" s="23"/>
      <c r="C76" s="23"/>
      <c r="D76" s="23"/>
      <c r="E76" s="23"/>
      <c r="F76" s="23"/>
      <c r="G76" s="23"/>
      <c r="H76" s="23"/>
      <c r="I76" s="21" t="str">
        <f t="shared" si="16"/>
        <v/>
      </c>
      <c r="J76" s="3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17" t="s">
        <v>168</v>
      </c>
      <c r="B77" s="19"/>
      <c r="C77" s="19"/>
      <c r="D77" s="19"/>
      <c r="E77" s="19"/>
      <c r="F77" s="19"/>
      <c r="G77" s="19"/>
      <c r="H77" s="19"/>
      <c r="I77" s="11" t="str">
        <f t="shared" si="16"/>
        <v/>
      </c>
      <c r="J77" s="32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21" t="s">
        <v>169</v>
      </c>
      <c r="B78" s="23"/>
      <c r="C78" s="23"/>
      <c r="D78" s="23"/>
      <c r="E78" s="23"/>
      <c r="F78" s="23"/>
      <c r="G78" s="23"/>
      <c r="H78" s="23"/>
      <c r="I78" s="21" t="str">
        <f t="shared" si="16"/>
        <v/>
      </c>
      <c r="J78" s="3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17" t="s">
        <v>170</v>
      </c>
      <c r="B79" s="19"/>
      <c r="C79" s="19"/>
      <c r="D79" s="19"/>
      <c r="E79" s="19"/>
      <c r="F79" s="19"/>
      <c r="G79" s="19"/>
      <c r="H79" s="19"/>
      <c r="I79" s="11" t="str">
        <f t="shared" si="16"/>
        <v/>
      </c>
      <c r="J79" s="32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16" t="s">
        <v>171</v>
      </c>
      <c r="B80" s="16" t="str">
        <f t="shared" ref="B80:I80" si="17">IFERROR(AVERAGE(B73,B74,B75,B76,B77,B78,B79),"")</f>
        <v/>
      </c>
      <c r="C80" s="16" t="str">
        <f t="shared" si="17"/>
        <v/>
      </c>
      <c r="D80" s="16" t="str">
        <f t="shared" si="17"/>
        <v/>
      </c>
      <c r="E80" s="16" t="str">
        <f t="shared" si="17"/>
        <v/>
      </c>
      <c r="F80" s="16" t="str">
        <f t="shared" si="17"/>
        <v/>
      </c>
      <c r="G80" s="16" t="str">
        <f t="shared" si="17"/>
        <v/>
      </c>
      <c r="H80" s="16" t="str">
        <f t="shared" si="17"/>
        <v/>
      </c>
      <c r="I80" s="16" t="str">
        <f t="shared" si="17"/>
        <v/>
      </c>
      <c r="J80" s="3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7.75" customHeight="1">
      <c r="A81" s="17" t="s">
        <v>120</v>
      </c>
      <c r="B81" s="11">
        <f>IFERROR(B80-B70,"")</f>
        <v>0</v>
      </c>
      <c r="C81" s="36"/>
      <c r="D81" s="36"/>
      <c r="E81" s="36"/>
      <c r="F81" s="36"/>
      <c r="G81" s="36"/>
      <c r="H81" s="36"/>
      <c r="I81" s="36"/>
      <c r="J81" s="3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17" t="s">
        <v>172</v>
      </c>
      <c r="B83" s="19"/>
      <c r="C83" s="19"/>
      <c r="D83" s="19"/>
      <c r="E83" s="19"/>
      <c r="F83" s="19"/>
      <c r="G83" s="19"/>
      <c r="H83" s="19"/>
      <c r="I83" s="11" t="str">
        <f t="shared" ref="I83:I89" si="18">IF(B83="","",ROUND($D$4-(($B$4-B83)/$B$4)*100,1))</f>
        <v/>
      </c>
      <c r="J83" s="32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21" t="s">
        <v>173</v>
      </c>
      <c r="B84" s="23"/>
      <c r="C84" s="23"/>
      <c r="D84" s="23"/>
      <c r="E84" s="23"/>
      <c r="F84" s="23"/>
      <c r="G84" s="23"/>
      <c r="H84" s="23"/>
      <c r="I84" s="21" t="str">
        <f t="shared" si="18"/>
        <v/>
      </c>
      <c r="J84" s="3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17" t="s">
        <v>174</v>
      </c>
      <c r="B85" s="19"/>
      <c r="C85" s="19"/>
      <c r="D85" s="19"/>
      <c r="E85" s="19"/>
      <c r="F85" s="19"/>
      <c r="G85" s="19"/>
      <c r="H85" s="19"/>
      <c r="I85" s="11" t="str">
        <f t="shared" si="18"/>
        <v/>
      </c>
      <c r="J85" s="32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21" t="s">
        <v>175</v>
      </c>
      <c r="B86" s="23"/>
      <c r="C86" s="23"/>
      <c r="D86" s="23"/>
      <c r="E86" s="23"/>
      <c r="F86" s="23"/>
      <c r="G86" s="23"/>
      <c r="H86" s="23"/>
      <c r="I86" s="21" t="str">
        <f t="shared" si="18"/>
        <v/>
      </c>
      <c r="J86" s="3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17" t="s">
        <v>176</v>
      </c>
      <c r="B87" s="19"/>
      <c r="C87" s="19"/>
      <c r="D87" s="19"/>
      <c r="E87" s="19"/>
      <c r="F87" s="19"/>
      <c r="G87" s="19"/>
      <c r="H87" s="19"/>
      <c r="I87" s="11" t="str">
        <f t="shared" si="18"/>
        <v/>
      </c>
      <c r="J87" s="32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21" t="s">
        <v>177</v>
      </c>
      <c r="B88" s="23"/>
      <c r="C88" s="23"/>
      <c r="D88" s="23"/>
      <c r="E88" s="23"/>
      <c r="F88" s="23"/>
      <c r="G88" s="23"/>
      <c r="H88" s="23"/>
      <c r="I88" s="21" t="str">
        <f t="shared" si="18"/>
        <v/>
      </c>
      <c r="J88" s="3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17" t="s">
        <v>178</v>
      </c>
      <c r="B89" s="19"/>
      <c r="C89" s="19"/>
      <c r="D89" s="19"/>
      <c r="E89" s="19"/>
      <c r="F89" s="19"/>
      <c r="G89" s="19"/>
      <c r="H89" s="19"/>
      <c r="I89" s="11" t="str">
        <f t="shared" si="18"/>
        <v/>
      </c>
      <c r="J89" s="32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16" t="s">
        <v>179</v>
      </c>
      <c r="B90" s="16" t="str">
        <f t="shared" ref="B90:I90" si="19">IFERROR(AVERAGE(B83,B84,B85,B86,B87,B88,B89),"")</f>
        <v/>
      </c>
      <c r="C90" s="16" t="str">
        <f t="shared" si="19"/>
        <v/>
      </c>
      <c r="D90" s="16" t="str">
        <f t="shared" si="19"/>
        <v/>
      </c>
      <c r="E90" s="16" t="str">
        <f t="shared" si="19"/>
        <v/>
      </c>
      <c r="F90" s="16" t="str">
        <f t="shared" si="19"/>
        <v/>
      </c>
      <c r="G90" s="16" t="str">
        <f t="shared" si="19"/>
        <v/>
      </c>
      <c r="H90" s="16" t="str">
        <f t="shared" si="19"/>
        <v/>
      </c>
      <c r="I90" s="16" t="str">
        <f t="shared" si="19"/>
        <v/>
      </c>
      <c r="J90" s="3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7.75" customHeight="1">
      <c r="A91" s="17" t="s">
        <v>120</v>
      </c>
      <c r="B91" s="11">
        <f>IFERROR(B90-B80,"")</f>
        <v>0</v>
      </c>
      <c r="C91" s="36"/>
      <c r="D91" s="36"/>
      <c r="E91" s="36"/>
      <c r="F91" s="36"/>
      <c r="G91" s="36"/>
      <c r="H91" s="36"/>
      <c r="I91" s="36"/>
      <c r="J91" s="3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J1"/>
    <mergeCell ref="A2:J2"/>
    <mergeCell ref="A3:J3"/>
    <mergeCell ref="G4:J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.0"/>
    <col customWidth="1" min="3" max="3" width="14.29"/>
    <col customWidth="1" min="4" max="4" width="7.0"/>
    <col customWidth="1" min="5" max="6" width="9.0"/>
    <col customWidth="1" min="7" max="7" width="7.0"/>
    <col customWidth="1" min="8" max="9" width="9.0"/>
    <col customWidth="1" min="10" max="10" width="7.0"/>
    <col customWidth="1" min="11" max="12" width="9.0"/>
    <col customWidth="1" min="13" max="13" width="15.0"/>
    <col customWidth="1" min="14" max="14" width="26.0"/>
    <col customWidth="1" min="15" max="15" width="10.14"/>
  </cols>
  <sheetData>
    <row r="1" ht="33.75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2" t="s">
        <v>182</v>
      </c>
      <c r="B3" s="43" t="s">
        <v>183</v>
      </c>
      <c r="C3" s="2"/>
      <c r="D3" s="2"/>
      <c r="E3" s="3"/>
      <c r="F3" s="43" t="s">
        <v>184</v>
      </c>
      <c r="G3" s="2"/>
      <c r="H3" s="2"/>
      <c r="I3" s="3"/>
      <c r="J3" s="29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5" t="s">
        <v>28</v>
      </c>
      <c r="B4" s="15" t="s">
        <v>185</v>
      </c>
      <c r="C4" s="15" t="s">
        <v>186</v>
      </c>
      <c r="D4" s="15" t="s">
        <v>187</v>
      </c>
      <c r="E4" s="44" t="s">
        <v>188</v>
      </c>
      <c r="F4" s="44" t="s">
        <v>189</v>
      </c>
      <c r="G4" s="15" t="s">
        <v>190</v>
      </c>
      <c r="H4" s="44" t="s">
        <v>191</v>
      </c>
      <c r="I4" s="44" t="s">
        <v>192</v>
      </c>
      <c r="J4" s="15" t="s">
        <v>193</v>
      </c>
      <c r="K4" s="44" t="s">
        <v>194</v>
      </c>
      <c r="L4" s="44" t="s">
        <v>195</v>
      </c>
      <c r="M4" s="15" t="s">
        <v>196</v>
      </c>
      <c r="N4" s="44" t="s">
        <v>197</v>
      </c>
      <c r="O4" s="15" t="s">
        <v>198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5" t="s">
        <v>199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46" t="s">
        <v>46</v>
      </c>
      <c r="B6" s="15" t="s">
        <v>18</v>
      </c>
      <c r="C6" s="47" t="s">
        <v>200</v>
      </c>
      <c r="D6" s="48">
        <v>1.0</v>
      </c>
      <c r="E6" s="38">
        <v>0.0</v>
      </c>
      <c r="F6" s="38">
        <v>0.0</v>
      </c>
      <c r="G6" s="48">
        <v>1.0</v>
      </c>
      <c r="H6" s="38">
        <v>0.0</v>
      </c>
      <c r="I6" s="38">
        <v>0.0</v>
      </c>
      <c r="J6" s="48">
        <v>1.0</v>
      </c>
      <c r="K6" s="38">
        <v>0.0</v>
      </c>
      <c r="L6" s="38">
        <v>0.0</v>
      </c>
      <c r="M6" s="11">
        <f t="shared" ref="M6:M12" si="1">IFERROR(IFERROR(E6*F6,0)+IFERROR(H6*I6,0)+IFERROR(K6*L6,0),0)</f>
        <v>0</v>
      </c>
      <c r="N6" s="10"/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9" t="s">
        <v>48</v>
      </c>
      <c r="B7" s="15" t="s">
        <v>18</v>
      </c>
      <c r="C7" s="47" t="s">
        <v>201</v>
      </c>
      <c r="D7" s="50">
        <v>2.0</v>
      </c>
      <c r="E7" s="38">
        <v>0.0</v>
      </c>
      <c r="F7" s="38">
        <v>0.0</v>
      </c>
      <c r="G7" s="50">
        <v>1.0</v>
      </c>
      <c r="H7" s="38">
        <v>0.0</v>
      </c>
      <c r="I7" s="38">
        <v>0.0</v>
      </c>
      <c r="J7" s="50">
        <v>0.0</v>
      </c>
      <c r="K7" s="38">
        <v>0.0</v>
      </c>
      <c r="L7" s="38">
        <v>0.0</v>
      </c>
      <c r="M7" s="11">
        <f t="shared" si="1"/>
        <v>0</v>
      </c>
      <c r="N7" s="51"/>
      <c r="O7" s="3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6" t="s">
        <v>49</v>
      </c>
      <c r="B8" s="15" t="s">
        <v>18</v>
      </c>
      <c r="C8" s="47" t="s">
        <v>201</v>
      </c>
      <c r="D8" s="48">
        <v>2.0</v>
      </c>
      <c r="E8" s="38">
        <v>0.0</v>
      </c>
      <c r="F8" s="38">
        <v>0.0</v>
      </c>
      <c r="G8" s="48">
        <v>1.0</v>
      </c>
      <c r="H8" s="38">
        <v>0.0</v>
      </c>
      <c r="I8" s="38">
        <v>0.0</v>
      </c>
      <c r="J8" s="48">
        <v>0.0</v>
      </c>
      <c r="K8" s="38">
        <v>0.0</v>
      </c>
      <c r="L8" s="38">
        <v>0.0</v>
      </c>
      <c r="M8" s="11">
        <f t="shared" si="1"/>
        <v>0</v>
      </c>
      <c r="N8" s="51"/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9" t="s">
        <v>50</v>
      </c>
      <c r="B9" s="15" t="s">
        <v>18</v>
      </c>
      <c r="C9" s="47" t="s">
        <v>202</v>
      </c>
      <c r="D9" s="50">
        <v>0.0</v>
      </c>
      <c r="E9" s="38">
        <v>0.0</v>
      </c>
      <c r="F9" s="38">
        <v>0.0</v>
      </c>
      <c r="G9" s="50">
        <v>0.0</v>
      </c>
      <c r="H9" s="38">
        <v>0.0</v>
      </c>
      <c r="I9" s="38">
        <v>0.0</v>
      </c>
      <c r="J9" s="50">
        <v>0.0</v>
      </c>
      <c r="K9" s="38">
        <v>0.0</v>
      </c>
      <c r="L9" s="38">
        <v>0.0</v>
      </c>
      <c r="M9" s="11">
        <f t="shared" si="1"/>
        <v>0</v>
      </c>
      <c r="N9" s="13"/>
      <c r="O9" s="3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6" t="s">
        <v>51</v>
      </c>
      <c r="B10" s="15" t="s">
        <v>18</v>
      </c>
      <c r="C10" s="47" t="s">
        <v>202</v>
      </c>
      <c r="D10" s="48">
        <v>0.0</v>
      </c>
      <c r="E10" s="38">
        <v>0.0</v>
      </c>
      <c r="F10" s="38">
        <v>0.0</v>
      </c>
      <c r="G10" s="48">
        <v>0.0</v>
      </c>
      <c r="H10" s="38">
        <v>0.0</v>
      </c>
      <c r="I10" s="38">
        <v>0.0</v>
      </c>
      <c r="J10" s="48">
        <v>0.0</v>
      </c>
      <c r="K10" s="38">
        <v>0.0</v>
      </c>
      <c r="L10" s="38">
        <v>0.0</v>
      </c>
      <c r="M10" s="11">
        <f t="shared" si="1"/>
        <v>0</v>
      </c>
      <c r="N10" s="10"/>
      <c r="O10" s="3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9" t="s">
        <v>52</v>
      </c>
      <c r="B11" s="15" t="s">
        <v>18</v>
      </c>
      <c r="C11" s="47" t="s">
        <v>202</v>
      </c>
      <c r="D11" s="50">
        <v>0.0</v>
      </c>
      <c r="E11" s="38">
        <v>0.0</v>
      </c>
      <c r="F11" s="38">
        <v>0.0</v>
      </c>
      <c r="G11" s="50">
        <v>0.0</v>
      </c>
      <c r="H11" s="38">
        <v>0.0</v>
      </c>
      <c r="I11" s="38">
        <v>0.0</v>
      </c>
      <c r="J11" s="50">
        <v>0.0</v>
      </c>
      <c r="K11" s="38">
        <v>0.0</v>
      </c>
      <c r="L11" s="38">
        <v>0.0</v>
      </c>
      <c r="M11" s="11">
        <f t="shared" si="1"/>
        <v>0</v>
      </c>
      <c r="N11" s="13"/>
      <c r="O11" s="3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6" t="s">
        <v>53</v>
      </c>
      <c r="B12" s="15" t="s">
        <v>18</v>
      </c>
      <c r="C12" s="47" t="s">
        <v>203</v>
      </c>
      <c r="D12" s="48">
        <v>0.0</v>
      </c>
      <c r="E12" s="38">
        <v>0.0</v>
      </c>
      <c r="F12" s="38">
        <v>0.0</v>
      </c>
      <c r="G12" s="48">
        <v>0.0</v>
      </c>
      <c r="H12" s="38">
        <v>0.0</v>
      </c>
      <c r="I12" s="38">
        <v>0.0</v>
      </c>
      <c r="J12" s="48">
        <v>0.0</v>
      </c>
      <c r="K12" s="38">
        <v>0.0</v>
      </c>
      <c r="L12" s="38">
        <v>0.0</v>
      </c>
      <c r="M12" s="11">
        <f t="shared" si="1"/>
        <v>0</v>
      </c>
      <c r="N12" s="51"/>
      <c r="O12" s="3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52" t="s">
        <v>204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11">
        <f>SUM(M6,M7,M8,M9,M10,M11,M12)</f>
        <v>0</v>
      </c>
      <c r="N13" s="53"/>
      <c r="O13" s="5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54" t="s">
        <v>205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6" t="s">
        <v>46</v>
      </c>
      <c r="B16" s="55" t="s">
        <v>19</v>
      </c>
      <c r="C16" s="47" t="s">
        <v>200</v>
      </c>
      <c r="D16" s="48">
        <v>1.0</v>
      </c>
      <c r="E16" s="19">
        <v>12.0</v>
      </c>
      <c r="F16" s="19">
        <v>15.0</v>
      </c>
      <c r="G16" s="48">
        <v>1.0</v>
      </c>
      <c r="H16" s="19">
        <v>12.0</v>
      </c>
      <c r="I16" s="19">
        <v>15.0</v>
      </c>
      <c r="J16" s="48">
        <v>1.0</v>
      </c>
      <c r="K16" s="19">
        <v>12.0</v>
      </c>
      <c r="L16" s="19">
        <v>15.0</v>
      </c>
      <c r="M16" s="11">
        <f t="shared" ref="M16:M22" si="2">IFERROR(IFERROR(E16*F16,0)+IFERROR(H16*I16,0)+IFERROR(K16*L16,0),0)</f>
        <v>540</v>
      </c>
      <c r="N16" s="10"/>
      <c r="O16" s="56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9" t="s">
        <v>48</v>
      </c>
      <c r="B17" s="55" t="s">
        <v>19</v>
      </c>
      <c r="C17" s="47" t="s">
        <v>201</v>
      </c>
      <c r="D17" s="50">
        <v>2.0</v>
      </c>
      <c r="E17" s="23">
        <v>12.0</v>
      </c>
      <c r="F17" s="23">
        <v>42.5</v>
      </c>
      <c r="G17" s="50">
        <v>1.0</v>
      </c>
      <c r="H17" s="23">
        <v>12.0</v>
      </c>
      <c r="I17" s="23">
        <v>50.0</v>
      </c>
      <c r="J17" s="50">
        <v>0.0</v>
      </c>
      <c r="K17" s="23">
        <v>12.0</v>
      </c>
      <c r="L17" s="23">
        <v>42.5</v>
      </c>
      <c r="M17" s="11">
        <f t="shared" si="2"/>
        <v>1620</v>
      </c>
      <c r="N17" s="51"/>
      <c r="O17" s="3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6" t="s">
        <v>49</v>
      </c>
      <c r="B18" s="55" t="s">
        <v>19</v>
      </c>
      <c r="C18" s="47" t="s">
        <v>201</v>
      </c>
      <c r="D18" s="48">
        <v>2.0</v>
      </c>
      <c r="E18" s="19">
        <v>10.0</v>
      </c>
      <c r="F18" s="19">
        <v>22.5</v>
      </c>
      <c r="G18" s="48">
        <v>1.0</v>
      </c>
      <c r="H18" s="19">
        <v>10.0</v>
      </c>
      <c r="I18" s="19">
        <v>22.5</v>
      </c>
      <c r="J18" s="48">
        <v>0.0</v>
      </c>
      <c r="K18" s="19">
        <v>10.0</v>
      </c>
      <c r="L18" s="19">
        <v>22.5</v>
      </c>
      <c r="M18" s="11">
        <f t="shared" si="2"/>
        <v>675</v>
      </c>
      <c r="N18" s="51"/>
      <c r="O18" s="3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9" t="s">
        <v>50</v>
      </c>
      <c r="B19" s="55" t="s">
        <v>19</v>
      </c>
      <c r="C19" s="47" t="s">
        <v>202</v>
      </c>
      <c r="D19" s="50">
        <v>0.0</v>
      </c>
      <c r="E19" s="23">
        <v>15.0</v>
      </c>
      <c r="F19" s="23">
        <v>8.0</v>
      </c>
      <c r="G19" s="50">
        <v>0.0</v>
      </c>
      <c r="H19" s="23">
        <v>15.0</v>
      </c>
      <c r="I19" s="23">
        <v>8.0</v>
      </c>
      <c r="J19" s="50">
        <v>0.0</v>
      </c>
      <c r="K19" s="23">
        <v>15.0</v>
      </c>
      <c r="L19" s="23">
        <v>8.0</v>
      </c>
      <c r="M19" s="11">
        <f t="shared" si="2"/>
        <v>360</v>
      </c>
      <c r="N19" s="13"/>
      <c r="O19" s="3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6" t="s">
        <v>51</v>
      </c>
      <c r="B20" s="55" t="s">
        <v>19</v>
      </c>
      <c r="C20" s="47" t="s">
        <v>202</v>
      </c>
      <c r="D20" s="48">
        <v>0.0</v>
      </c>
      <c r="E20" s="19">
        <v>15.0</v>
      </c>
      <c r="F20" s="19">
        <v>11.5</v>
      </c>
      <c r="G20" s="48">
        <v>0.0</v>
      </c>
      <c r="H20" s="19">
        <v>15.0</v>
      </c>
      <c r="I20" s="19">
        <v>11.5</v>
      </c>
      <c r="J20" s="48">
        <v>0.0</v>
      </c>
      <c r="K20" s="19">
        <v>15.0</v>
      </c>
      <c r="L20" s="19">
        <v>11.5</v>
      </c>
      <c r="M20" s="11">
        <f t="shared" si="2"/>
        <v>517.5</v>
      </c>
      <c r="N20" s="10"/>
      <c r="O20" s="3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9" t="s">
        <v>52</v>
      </c>
      <c r="B21" s="55" t="s">
        <v>19</v>
      </c>
      <c r="C21" s="47" t="s">
        <v>202</v>
      </c>
      <c r="D21" s="50">
        <v>0.0</v>
      </c>
      <c r="E21" s="23">
        <v>15.0</v>
      </c>
      <c r="F21" s="23">
        <v>15.0</v>
      </c>
      <c r="G21" s="50">
        <v>0.0</v>
      </c>
      <c r="H21" s="23">
        <v>15.0</v>
      </c>
      <c r="I21" s="23">
        <v>15.0</v>
      </c>
      <c r="J21" s="50">
        <v>0.0</v>
      </c>
      <c r="K21" s="23">
        <v>15.0</v>
      </c>
      <c r="L21" s="23">
        <v>15.0</v>
      </c>
      <c r="M21" s="11">
        <f t="shared" si="2"/>
        <v>675</v>
      </c>
      <c r="N21" s="13"/>
      <c r="O21" s="34"/>
      <c r="P21" s="4"/>
      <c r="Q21" s="4"/>
      <c r="R21" s="57" t="s">
        <v>206</v>
      </c>
      <c r="S21" s="4"/>
      <c r="T21" s="4"/>
      <c r="U21" s="4"/>
      <c r="V21" s="4"/>
      <c r="W21" s="4"/>
      <c r="X21" s="4"/>
      <c r="Y21" s="4"/>
      <c r="Z21" s="4"/>
    </row>
    <row r="22" ht="19.5" customHeight="1">
      <c r="A22" s="46" t="s">
        <v>53</v>
      </c>
      <c r="B22" s="55" t="s">
        <v>19</v>
      </c>
      <c r="C22" s="47" t="s">
        <v>203</v>
      </c>
      <c r="D22" s="48">
        <v>0.0</v>
      </c>
      <c r="E22" s="19">
        <v>18.0</v>
      </c>
      <c r="F22" s="19">
        <v>57.5</v>
      </c>
      <c r="G22" s="48">
        <v>0.0</v>
      </c>
      <c r="H22" s="19">
        <v>16.0</v>
      </c>
      <c r="I22" s="19">
        <v>57.5</v>
      </c>
      <c r="J22" s="48">
        <v>0.0</v>
      </c>
      <c r="K22" s="19">
        <v>17.0</v>
      </c>
      <c r="L22" s="19">
        <v>57.5</v>
      </c>
      <c r="M22" s="11">
        <f t="shared" si="2"/>
        <v>2932.5</v>
      </c>
      <c r="N22" s="51"/>
      <c r="O22" s="3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8" t="s">
        <v>207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11">
        <f>SUM(M16,M17,M18,M19,M20,M21,M22)</f>
        <v>7320</v>
      </c>
      <c r="N23" s="59"/>
      <c r="O23" s="5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0" t="s">
        <v>208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6" t="s">
        <v>46</v>
      </c>
      <c r="B26" s="61" t="s">
        <v>20</v>
      </c>
      <c r="C26" s="47" t="s">
        <v>200</v>
      </c>
      <c r="D26" s="48">
        <v>1.0</v>
      </c>
      <c r="E26" s="19">
        <v>12.0</v>
      </c>
      <c r="F26" s="19">
        <v>15.0</v>
      </c>
      <c r="G26" s="48">
        <v>1.0</v>
      </c>
      <c r="H26" s="19">
        <v>12.0</v>
      </c>
      <c r="I26" s="19">
        <v>15.0</v>
      </c>
      <c r="J26" s="48">
        <v>1.0</v>
      </c>
      <c r="K26" s="19">
        <v>12.0</v>
      </c>
      <c r="L26" s="19">
        <v>15.0</v>
      </c>
      <c r="M26" s="11">
        <f t="shared" ref="M26:M32" si="3">IFERROR(IFERROR(E26*F26,0)+IFERROR(H26*I26,0)+IFERROR(K26*L26,0),0)</f>
        <v>540</v>
      </c>
      <c r="N26" s="10"/>
      <c r="O26" s="3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9" t="s">
        <v>48</v>
      </c>
      <c r="B27" s="61" t="s">
        <v>20</v>
      </c>
      <c r="C27" s="47" t="s">
        <v>201</v>
      </c>
      <c r="D27" s="50">
        <v>2.0</v>
      </c>
      <c r="E27" s="23">
        <v>12.0</v>
      </c>
      <c r="F27" s="23">
        <v>57.5</v>
      </c>
      <c r="G27" s="50">
        <v>1.0</v>
      </c>
      <c r="H27" s="23">
        <v>12.0</v>
      </c>
      <c r="I27" s="23">
        <v>57.5</v>
      </c>
      <c r="J27" s="50">
        <v>0.0</v>
      </c>
      <c r="K27" s="23">
        <v>13.0</v>
      </c>
      <c r="L27" s="23">
        <v>57.5</v>
      </c>
      <c r="M27" s="11">
        <f t="shared" si="3"/>
        <v>2127.5</v>
      </c>
      <c r="N27" s="51"/>
      <c r="O27" s="3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6" t="s">
        <v>49</v>
      </c>
      <c r="B28" s="61" t="s">
        <v>20</v>
      </c>
      <c r="C28" s="47" t="s">
        <v>201</v>
      </c>
      <c r="D28" s="48">
        <v>2.0</v>
      </c>
      <c r="E28" s="19">
        <v>10.0</v>
      </c>
      <c r="F28" s="19">
        <v>22.5</v>
      </c>
      <c r="G28" s="48">
        <v>1.0</v>
      </c>
      <c r="H28" s="19">
        <v>10.0</v>
      </c>
      <c r="I28" s="19">
        <v>22.5</v>
      </c>
      <c r="J28" s="48">
        <v>0.0</v>
      </c>
      <c r="K28" s="19">
        <v>10.0</v>
      </c>
      <c r="L28" s="19">
        <v>22.5</v>
      </c>
      <c r="M28" s="11">
        <f t="shared" si="3"/>
        <v>675</v>
      </c>
      <c r="N28" s="51"/>
      <c r="O28" s="3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9" t="s">
        <v>50</v>
      </c>
      <c r="B29" s="61" t="s">
        <v>20</v>
      </c>
      <c r="C29" s="47" t="s">
        <v>202</v>
      </c>
      <c r="D29" s="50">
        <v>0.0</v>
      </c>
      <c r="E29" s="23">
        <v>18.0</v>
      </c>
      <c r="F29" s="23">
        <v>9.0</v>
      </c>
      <c r="G29" s="50">
        <v>0.0</v>
      </c>
      <c r="H29" s="23">
        <v>16.0</v>
      </c>
      <c r="I29" s="23">
        <v>9.0</v>
      </c>
      <c r="J29" s="50">
        <v>0.0</v>
      </c>
      <c r="K29" s="23">
        <v>16.0</v>
      </c>
      <c r="L29" s="23">
        <v>9.0</v>
      </c>
      <c r="M29" s="11">
        <f t="shared" si="3"/>
        <v>450</v>
      </c>
      <c r="N29" s="13"/>
      <c r="O29" s="3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6" t="s">
        <v>51</v>
      </c>
      <c r="B30" s="61" t="s">
        <v>20</v>
      </c>
      <c r="C30" s="47" t="s">
        <v>202</v>
      </c>
      <c r="D30" s="48">
        <v>0.0</v>
      </c>
      <c r="E30" s="19">
        <v>15.0</v>
      </c>
      <c r="F30" s="19">
        <v>11.5</v>
      </c>
      <c r="G30" s="48">
        <v>0.0</v>
      </c>
      <c r="H30" s="19">
        <v>15.0</v>
      </c>
      <c r="I30" s="19">
        <v>15.0</v>
      </c>
      <c r="J30" s="48">
        <v>0.0</v>
      </c>
      <c r="K30" s="19">
        <v>15.0</v>
      </c>
      <c r="L30" s="19">
        <v>15.0</v>
      </c>
      <c r="M30" s="11">
        <f t="shared" si="3"/>
        <v>622.5</v>
      </c>
      <c r="N30" s="10"/>
      <c r="O30" s="3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9" t="s">
        <v>52</v>
      </c>
      <c r="B31" s="61" t="s">
        <v>20</v>
      </c>
      <c r="C31" s="47" t="s">
        <v>202</v>
      </c>
      <c r="D31" s="50">
        <v>0.0</v>
      </c>
      <c r="E31" s="23">
        <v>12.0</v>
      </c>
      <c r="F31" s="23">
        <v>20.0</v>
      </c>
      <c r="G31" s="50">
        <v>0.0</v>
      </c>
      <c r="H31" s="23">
        <v>13.0</v>
      </c>
      <c r="I31" s="23">
        <v>17.5</v>
      </c>
      <c r="J31" s="50">
        <v>0.0</v>
      </c>
      <c r="K31" s="23">
        <v>12.0</v>
      </c>
      <c r="L31" s="23">
        <v>17.5</v>
      </c>
      <c r="M31" s="11">
        <f t="shared" si="3"/>
        <v>677.5</v>
      </c>
      <c r="N31" s="13"/>
      <c r="O31" s="3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6" t="s">
        <v>53</v>
      </c>
      <c r="B32" s="61" t="s">
        <v>20</v>
      </c>
      <c r="C32" s="47" t="s">
        <v>203</v>
      </c>
      <c r="D32" s="48">
        <v>0.0</v>
      </c>
      <c r="E32" s="19">
        <v>16.0</v>
      </c>
      <c r="F32" s="19">
        <v>57.5</v>
      </c>
      <c r="G32" s="48">
        <v>0.0</v>
      </c>
      <c r="H32" s="19">
        <v>16.0</v>
      </c>
      <c r="I32" s="19">
        <v>57.5</v>
      </c>
      <c r="J32" s="48">
        <v>0.0</v>
      </c>
      <c r="K32" s="19">
        <v>14.0</v>
      </c>
      <c r="L32" s="19">
        <v>57.5</v>
      </c>
      <c r="M32" s="11">
        <f t="shared" si="3"/>
        <v>2645</v>
      </c>
      <c r="N32" s="51"/>
      <c r="O32" s="3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2" t="s">
        <v>209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11">
        <f>SUM(M26,M27,M28,M29,M30,M31,M32)</f>
        <v>7737.5</v>
      </c>
      <c r="N33" s="63"/>
      <c r="O33" s="6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4" t="s">
        <v>210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6" t="s">
        <v>46</v>
      </c>
      <c r="B36" s="65" t="s">
        <v>21</v>
      </c>
      <c r="C36" s="47" t="s">
        <v>200</v>
      </c>
      <c r="D36" s="48">
        <v>1.0</v>
      </c>
      <c r="E36" s="19">
        <v>12.0</v>
      </c>
      <c r="F36" s="19">
        <v>15.0</v>
      </c>
      <c r="G36" s="48">
        <v>1.0</v>
      </c>
      <c r="H36" s="19">
        <v>12.0</v>
      </c>
      <c r="I36" s="19">
        <v>15.0</v>
      </c>
      <c r="J36" s="48">
        <v>1.0</v>
      </c>
      <c r="K36" s="19">
        <v>12.0</v>
      </c>
      <c r="L36" s="19">
        <v>15.0</v>
      </c>
      <c r="M36" s="11">
        <f t="shared" ref="M36:M42" si="4">IFERROR(IFERROR(E36*F36,0)+IFERROR(H36*I36,0)+IFERROR(K36*L36,0),0)</f>
        <v>540</v>
      </c>
      <c r="N36" s="10"/>
      <c r="O36" s="3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9" t="s">
        <v>48</v>
      </c>
      <c r="B37" s="65" t="s">
        <v>21</v>
      </c>
      <c r="C37" s="47" t="s">
        <v>201</v>
      </c>
      <c r="D37" s="50">
        <v>2.0</v>
      </c>
      <c r="E37" s="23">
        <v>12.0</v>
      </c>
      <c r="F37" s="23">
        <v>57.5</v>
      </c>
      <c r="G37" s="50">
        <v>1.0</v>
      </c>
      <c r="H37" s="23">
        <v>12.0</v>
      </c>
      <c r="I37" s="23">
        <v>57.5</v>
      </c>
      <c r="J37" s="50">
        <v>0.0</v>
      </c>
      <c r="K37" s="23">
        <v>12.0</v>
      </c>
      <c r="L37" s="23">
        <v>62.5</v>
      </c>
      <c r="M37" s="11">
        <f t="shared" si="4"/>
        <v>2130</v>
      </c>
      <c r="N37" s="51"/>
      <c r="O37" s="3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6" t="s">
        <v>49</v>
      </c>
      <c r="B38" s="65" t="s">
        <v>21</v>
      </c>
      <c r="C38" s="47" t="s">
        <v>201</v>
      </c>
      <c r="D38" s="48">
        <v>2.0</v>
      </c>
      <c r="E38" s="19">
        <v>10.0</v>
      </c>
      <c r="F38" s="19">
        <v>22.5</v>
      </c>
      <c r="G38" s="48">
        <v>1.0</v>
      </c>
      <c r="H38" s="19">
        <v>10.0</v>
      </c>
      <c r="I38" s="19">
        <v>22.5</v>
      </c>
      <c r="J38" s="48">
        <v>0.0</v>
      </c>
      <c r="K38" s="19">
        <v>10.0</v>
      </c>
      <c r="L38" s="19">
        <v>22.5</v>
      </c>
      <c r="M38" s="11">
        <f t="shared" si="4"/>
        <v>675</v>
      </c>
      <c r="N38" s="51"/>
      <c r="O38" s="3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9" t="s">
        <v>50</v>
      </c>
      <c r="B39" s="65" t="s">
        <v>21</v>
      </c>
      <c r="C39" s="47" t="s">
        <v>202</v>
      </c>
      <c r="D39" s="50">
        <v>0.0</v>
      </c>
      <c r="E39" s="23">
        <v>15.0</v>
      </c>
      <c r="F39" s="23">
        <v>10.0</v>
      </c>
      <c r="G39" s="50">
        <v>0.0</v>
      </c>
      <c r="H39" s="23">
        <v>15.0</v>
      </c>
      <c r="I39" s="23">
        <v>10.0</v>
      </c>
      <c r="J39" s="50">
        <v>0.0</v>
      </c>
      <c r="K39" s="23">
        <v>15.0</v>
      </c>
      <c r="L39" s="23">
        <v>10.0</v>
      </c>
      <c r="M39" s="11">
        <f t="shared" si="4"/>
        <v>450</v>
      </c>
      <c r="N39" s="13"/>
      <c r="O39" s="3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6" t="s">
        <v>51</v>
      </c>
      <c r="B40" s="65" t="s">
        <v>21</v>
      </c>
      <c r="C40" s="47" t="s">
        <v>202</v>
      </c>
      <c r="D40" s="48">
        <v>0.0</v>
      </c>
      <c r="E40" s="19">
        <v>15.0</v>
      </c>
      <c r="F40" s="19">
        <v>11.5</v>
      </c>
      <c r="G40" s="48">
        <v>0.0</v>
      </c>
      <c r="H40" s="19">
        <v>15.0</v>
      </c>
      <c r="I40" s="19">
        <v>11.5</v>
      </c>
      <c r="J40" s="48">
        <v>0.0</v>
      </c>
      <c r="K40" s="19">
        <v>15.0</v>
      </c>
      <c r="L40" s="19">
        <v>11.5</v>
      </c>
      <c r="M40" s="11">
        <f t="shared" si="4"/>
        <v>517.5</v>
      </c>
      <c r="N40" s="10"/>
      <c r="O40" s="3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9" t="s">
        <v>52</v>
      </c>
      <c r="B41" s="65" t="s">
        <v>21</v>
      </c>
      <c r="C41" s="47" t="s">
        <v>202</v>
      </c>
      <c r="D41" s="50">
        <v>0.0</v>
      </c>
      <c r="E41" s="23">
        <v>15.0</v>
      </c>
      <c r="F41" s="23">
        <v>17.5</v>
      </c>
      <c r="G41" s="50">
        <v>0.0</v>
      </c>
      <c r="H41" s="23">
        <v>15.0</v>
      </c>
      <c r="I41" s="23">
        <v>17.5</v>
      </c>
      <c r="J41" s="50">
        <v>0.0</v>
      </c>
      <c r="K41" s="23">
        <v>15.0</v>
      </c>
      <c r="L41" s="23">
        <v>15.0</v>
      </c>
      <c r="M41" s="11">
        <f t="shared" si="4"/>
        <v>750</v>
      </c>
      <c r="N41" s="13"/>
      <c r="O41" s="3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6" t="s">
        <v>53</v>
      </c>
      <c r="B42" s="65" t="s">
        <v>21</v>
      </c>
      <c r="C42" s="47" t="s">
        <v>203</v>
      </c>
      <c r="D42" s="48">
        <v>0.0</v>
      </c>
      <c r="E42" s="19">
        <v>16.0</v>
      </c>
      <c r="F42" s="19">
        <v>57.5</v>
      </c>
      <c r="G42" s="48">
        <v>0.0</v>
      </c>
      <c r="H42" s="19">
        <v>16.0</v>
      </c>
      <c r="I42" s="19">
        <v>57.5</v>
      </c>
      <c r="J42" s="48">
        <v>0.0</v>
      </c>
      <c r="K42" s="19">
        <v>16.0</v>
      </c>
      <c r="L42" s="19">
        <v>57.5</v>
      </c>
      <c r="M42" s="11">
        <f t="shared" si="4"/>
        <v>2760</v>
      </c>
      <c r="N42" s="51"/>
      <c r="O42" s="3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6" t="s">
        <v>211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11">
        <f>SUM(M36,M37,M38,M39,M40,M41,M42)</f>
        <v>7822.5</v>
      </c>
      <c r="N43" s="67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8" t="s">
        <v>212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6" t="s">
        <v>46</v>
      </c>
      <c r="B46" s="69" t="s">
        <v>22</v>
      </c>
      <c r="C46" s="47" t="s">
        <v>200</v>
      </c>
      <c r="D46" s="48">
        <v>1.0</v>
      </c>
      <c r="E46" s="19">
        <v>12.0</v>
      </c>
      <c r="F46" s="19">
        <v>15.0</v>
      </c>
      <c r="G46" s="48">
        <v>1.0</v>
      </c>
      <c r="H46" s="19">
        <v>12.0</v>
      </c>
      <c r="I46" s="19">
        <v>15.0</v>
      </c>
      <c r="J46" s="48">
        <v>1.0</v>
      </c>
      <c r="K46" s="19">
        <v>12.0</v>
      </c>
      <c r="L46" s="19">
        <v>15.0</v>
      </c>
      <c r="M46" s="11">
        <f t="shared" ref="M46:M53" si="5">IFERROR(IFERROR(E46*F46,0)+IFERROR(H46*I46,0)+IFERROR(K46*L46,0),0)</f>
        <v>540</v>
      </c>
      <c r="N46" s="70"/>
      <c r="O46" s="1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9" t="s">
        <v>48</v>
      </c>
      <c r="B47" s="69" t="s">
        <v>22</v>
      </c>
      <c r="C47" s="47" t="s">
        <v>201</v>
      </c>
      <c r="D47" s="50">
        <v>2.0</v>
      </c>
      <c r="E47" s="23">
        <v>12.0</v>
      </c>
      <c r="F47" s="23">
        <v>57.5</v>
      </c>
      <c r="G47" s="50">
        <v>1.0</v>
      </c>
      <c r="H47" s="23">
        <v>12.0</v>
      </c>
      <c r="I47" s="39">
        <v>62.5</v>
      </c>
      <c r="J47" s="50">
        <v>0.0</v>
      </c>
      <c r="K47" s="23">
        <v>12.0</v>
      </c>
      <c r="L47" s="39">
        <v>62.5</v>
      </c>
      <c r="M47" s="11">
        <f t="shared" si="5"/>
        <v>2190</v>
      </c>
      <c r="N47" s="71"/>
      <c r="O47" s="1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6" t="s">
        <v>49</v>
      </c>
      <c r="B48" s="69" t="s">
        <v>22</v>
      </c>
      <c r="C48" s="47" t="s">
        <v>201</v>
      </c>
      <c r="D48" s="48">
        <v>2.0</v>
      </c>
      <c r="E48" s="19">
        <v>10.0</v>
      </c>
      <c r="F48" s="38">
        <v>35.0</v>
      </c>
      <c r="G48" s="48">
        <v>1.0</v>
      </c>
      <c r="H48" s="19">
        <v>10.0</v>
      </c>
      <c r="I48" s="38">
        <v>35.0</v>
      </c>
      <c r="J48" s="48">
        <v>0.0</v>
      </c>
      <c r="K48" s="19">
        <v>10.0</v>
      </c>
      <c r="L48" s="38">
        <v>35.0</v>
      </c>
      <c r="M48" s="11">
        <f t="shared" si="5"/>
        <v>1050</v>
      </c>
      <c r="N48" s="70"/>
      <c r="O48" s="1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9" t="s">
        <v>50</v>
      </c>
      <c r="B49" s="69" t="s">
        <v>22</v>
      </c>
      <c r="C49" s="47" t="s">
        <v>202</v>
      </c>
      <c r="D49" s="50">
        <v>0.0</v>
      </c>
      <c r="E49" s="23">
        <v>15.0</v>
      </c>
      <c r="F49" s="23">
        <v>10.0</v>
      </c>
      <c r="G49" s="50">
        <v>0.0</v>
      </c>
      <c r="H49" s="23">
        <v>15.0</v>
      </c>
      <c r="I49" s="23">
        <v>10.0</v>
      </c>
      <c r="J49" s="50">
        <v>0.0</v>
      </c>
      <c r="K49" s="23">
        <v>15.0</v>
      </c>
      <c r="L49" s="23">
        <v>10.0</v>
      </c>
      <c r="M49" s="11">
        <f t="shared" si="5"/>
        <v>450</v>
      </c>
      <c r="N49" s="71"/>
      <c r="O49" s="1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6" t="s">
        <v>51</v>
      </c>
      <c r="B50" s="69" t="s">
        <v>22</v>
      </c>
      <c r="C50" s="47" t="s">
        <v>202</v>
      </c>
      <c r="D50" s="48">
        <v>0.0</v>
      </c>
      <c r="E50" s="38">
        <v>12.0</v>
      </c>
      <c r="F50" s="38">
        <v>15.0</v>
      </c>
      <c r="G50" s="48">
        <v>0.0</v>
      </c>
      <c r="H50" s="38">
        <v>12.0</v>
      </c>
      <c r="I50" s="38">
        <v>15.0</v>
      </c>
      <c r="J50" s="48">
        <v>0.0</v>
      </c>
      <c r="K50" s="38">
        <v>12.0</v>
      </c>
      <c r="L50" s="38">
        <v>15.0</v>
      </c>
      <c r="M50" s="11">
        <f t="shared" si="5"/>
        <v>540</v>
      </c>
      <c r="N50" s="70"/>
      <c r="O50" s="10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9" t="s">
        <v>213</v>
      </c>
      <c r="B51" s="69" t="s">
        <v>22</v>
      </c>
      <c r="C51" s="47" t="s">
        <v>214</v>
      </c>
      <c r="D51" s="50">
        <v>0.0</v>
      </c>
      <c r="E51" s="39">
        <v>15.0</v>
      </c>
      <c r="F51" s="39">
        <v>55.0</v>
      </c>
      <c r="G51" s="50">
        <v>0.0</v>
      </c>
      <c r="H51" s="39">
        <v>15.0</v>
      </c>
      <c r="I51" s="39">
        <v>55.0</v>
      </c>
      <c r="J51" s="50">
        <v>0.0</v>
      </c>
      <c r="K51" s="23">
        <v>15.0</v>
      </c>
      <c r="L51" s="39">
        <v>55.0</v>
      </c>
      <c r="M51" s="11">
        <f t="shared" si="5"/>
        <v>2475</v>
      </c>
      <c r="N51" s="71"/>
      <c r="O51" s="1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6" t="s">
        <v>215</v>
      </c>
      <c r="B52" s="69" t="s">
        <v>22</v>
      </c>
      <c r="C52" s="47" t="s">
        <v>201</v>
      </c>
      <c r="D52" s="48">
        <v>1.0</v>
      </c>
      <c r="E52" s="38">
        <v>12.0</v>
      </c>
      <c r="F52" s="38">
        <v>25.0</v>
      </c>
      <c r="G52" s="48">
        <v>0.0</v>
      </c>
      <c r="H52" s="38">
        <v>12.0</v>
      </c>
      <c r="I52" s="38">
        <v>25.0</v>
      </c>
      <c r="J52" s="48">
        <v>0.0</v>
      </c>
      <c r="K52" s="38">
        <v>12.0</v>
      </c>
      <c r="L52" s="38">
        <v>25.0</v>
      </c>
      <c r="M52" s="11">
        <f t="shared" si="5"/>
        <v>900</v>
      </c>
      <c r="N52" s="70"/>
      <c r="O52" s="1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9" t="s">
        <v>53</v>
      </c>
      <c r="B53" s="69" t="s">
        <v>22</v>
      </c>
      <c r="C53" s="47" t="s">
        <v>203</v>
      </c>
      <c r="D53" s="50">
        <v>0.0</v>
      </c>
      <c r="E53" s="19">
        <v>16.0</v>
      </c>
      <c r="F53" s="19">
        <v>57.5</v>
      </c>
      <c r="G53" s="50">
        <v>0.0</v>
      </c>
      <c r="H53" s="19">
        <v>16.0</v>
      </c>
      <c r="I53" s="19">
        <v>57.5</v>
      </c>
      <c r="J53" s="50">
        <v>0.0</v>
      </c>
      <c r="K53" s="19">
        <v>16.0</v>
      </c>
      <c r="L53" s="19">
        <v>57.5</v>
      </c>
      <c r="M53" s="11">
        <f t="shared" si="5"/>
        <v>2760</v>
      </c>
      <c r="N53" s="71"/>
      <c r="O53" s="1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72" t="s">
        <v>216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11">
        <f>SUM(M46,M47,M48,M49,M50,M51,M52,M53)</f>
        <v>10905</v>
      </c>
      <c r="N54" s="73"/>
      <c r="O54" s="7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74" t="s">
        <v>217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6" t="s">
        <v>46</v>
      </c>
      <c r="B57" s="75" t="s">
        <v>23</v>
      </c>
      <c r="C57" s="47" t="s">
        <v>200</v>
      </c>
      <c r="D57" s="48">
        <v>1.0</v>
      </c>
      <c r="E57" s="19"/>
      <c r="F57" s="19"/>
      <c r="G57" s="48">
        <v>1.0</v>
      </c>
      <c r="H57" s="19"/>
      <c r="I57" s="19"/>
      <c r="J57" s="48">
        <v>1.0</v>
      </c>
      <c r="K57" s="19"/>
      <c r="L57" s="19"/>
      <c r="M57" s="11">
        <f t="shared" ref="M57:M64" si="6">IFERROR(IFERROR(E57*F57,0)+IFERROR(H57*I57,0)+IFERROR(K57*L57,0),0)</f>
        <v>0</v>
      </c>
      <c r="N57" s="70"/>
      <c r="O57" s="1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9" t="s">
        <v>48</v>
      </c>
      <c r="B58" s="75" t="s">
        <v>23</v>
      </c>
      <c r="C58" s="47" t="s">
        <v>201</v>
      </c>
      <c r="D58" s="50">
        <v>2.0</v>
      </c>
      <c r="E58" s="23"/>
      <c r="F58" s="23"/>
      <c r="G58" s="50">
        <v>1.0</v>
      </c>
      <c r="H58" s="23"/>
      <c r="I58" s="23"/>
      <c r="J58" s="50">
        <v>0.0</v>
      </c>
      <c r="K58" s="23"/>
      <c r="L58" s="23"/>
      <c r="M58" s="11">
        <f t="shared" si="6"/>
        <v>0</v>
      </c>
      <c r="N58" s="71"/>
      <c r="O58" s="1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6" t="s">
        <v>49</v>
      </c>
      <c r="B59" s="75" t="s">
        <v>23</v>
      </c>
      <c r="C59" s="47" t="s">
        <v>201</v>
      </c>
      <c r="D59" s="48">
        <v>2.0</v>
      </c>
      <c r="E59" s="19"/>
      <c r="F59" s="19"/>
      <c r="G59" s="48">
        <v>1.0</v>
      </c>
      <c r="H59" s="19"/>
      <c r="I59" s="19"/>
      <c r="J59" s="48">
        <v>0.0</v>
      </c>
      <c r="K59" s="19"/>
      <c r="L59" s="19"/>
      <c r="M59" s="11">
        <f t="shared" si="6"/>
        <v>0</v>
      </c>
      <c r="N59" s="70"/>
      <c r="O59" s="1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9" t="s">
        <v>50</v>
      </c>
      <c r="B60" s="75" t="s">
        <v>23</v>
      </c>
      <c r="C60" s="47" t="s">
        <v>202</v>
      </c>
      <c r="D60" s="50">
        <v>0.0</v>
      </c>
      <c r="E60" s="23"/>
      <c r="F60" s="23"/>
      <c r="G60" s="50">
        <v>0.0</v>
      </c>
      <c r="H60" s="23"/>
      <c r="I60" s="23"/>
      <c r="J60" s="50">
        <v>0.0</v>
      </c>
      <c r="K60" s="23"/>
      <c r="L60" s="23"/>
      <c r="M60" s="11">
        <f t="shared" si="6"/>
        <v>0</v>
      </c>
      <c r="N60" s="71"/>
      <c r="O60" s="1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6" t="s">
        <v>51</v>
      </c>
      <c r="B61" s="75" t="s">
        <v>23</v>
      </c>
      <c r="C61" s="47" t="s">
        <v>202</v>
      </c>
      <c r="D61" s="48">
        <v>0.0</v>
      </c>
      <c r="E61" s="19"/>
      <c r="F61" s="19"/>
      <c r="G61" s="48">
        <v>0.0</v>
      </c>
      <c r="H61" s="19"/>
      <c r="I61" s="19"/>
      <c r="J61" s="48">
        <v>0.0</v>
      </c>
      <c r="K61" s="19"/>
      <c r="L61" s="19"/>
      <c r="M61" s="11">
        <f t="shared" si="6"/>
        <v>0</v>
      </c>
      <c r="N61" s="70"/>
      <c r="O61" s="10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9" t="s">
        <v>213</v>
      </c>
      <c r="B62" s="75" t="s">
        <v>23</v>
      </c>
      <c r="C62" s="47" t="s">
        <v>214</v>
      </c>
      <c r="D62" s="50">
        <v>0.0</v>
      </c>
      <c r="E62" s="23"/>
      <c r="F62" s="23"/>
      <c r="G62" s="50">
        <v>0.0</v>
      </c>
      <c r="H62" s="23"/>
      <c r="I62" s="23"/>
      <c r="J62" s="50">
        <v>0.0</v>
      </c>
      <c r="K62" s="23"/>
      <c r="L62" s="23"/>
      <c r="M62" s="11">
        <f t="shared" si="6"/>
        <v>0</v>
      </c>
      <c r="N62" s="71"/>
      <c r="O62" s="1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6" t="s">
        <v>215</v>
      </c>
      <c r="B63" s="75" t="s">
        <v>23</v>
      </c>
      <c r="C63" s="47" t="s">
        <v>201</v>
      </c>
      <c r="D63" s="48">
        <v>1.0</v>
      </c>
      <c r="E63" s="19"/>
      <c r="F63" s="19"/>
      <c r="G63" s="48">
        <v>0.0</v>
      </c>
      <c r="H63" s="19"/>
      <c r="I63" s="19"/>
      <c r="J63" s="48">
        <v>0.0</v>
      </c>
      <c r="K63" s="19"/>
      <c r="L63" s="19"/>
      <c r="M63" s="11">
        <f t="shared" si="6"/>
        <v>0</v>
      </c>
      <c r="N63" s="70"/>
      <c r="O63" s="1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9" t="s">
        <v>53</v>
      </c>
      <c r="B64" s="75" t="s">
        <v>23</v>
      </c>
      <c r="C64" s="47" t="s">
        <v>203</v>
      </c>
      <c r="D64" s="50">
        <v>0.0</v>
      </c>
      <c r="E64" s="23"/>
      <c r="F64" s="23"/>
      <c r="G64" s="50">
        <v>0.0</v>
      </c>
      <c r="H64" s="23"/>
      <c r="I64" s="23"/>
      <c r="J64" s="50">
        <v>0.0</v>
      </c>
      <c r="K64" s="23"/>
      <c r="L64" s="23"/>
      <c r="M64" s="11">
        <f t="shared" si="6"/>
        <v>0</v>
      </c>
      <c r="N64" s="71"/>
      <c r="O64" s="1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76" t="s">
        <v>218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11">
        <f>SUM(M57,M58,M59,M60,M61,M62,M63,M64)</f>
        <v>0</v>
      </c>
      <c r="N65" s="77"/>
      <c r="O65" s="7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78" t="s">
        <v>219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6" t="s">
        <v>46</v>
      </c>
      <c r="B68" s="79" t="s">
        <v>24</v>
      </c>
      <c r="C68" s="47" t="s">
        <v>200</v>
      </c>
      <c r="D68" s="48">
        <v>1.0</v>
      </c>
      <c r="E68" s="19"/>
      <c r="F68" s="19"/>
      <c r="G68" s="48">
        <v>1.0</v>
      </c>
      <c r="H68" s="19"/>
      <c r="I68" s="19"/>
      <c r="J68" s="48">
        <v>1.0</v>
      </c>
      <c r="K68" s="19"/>
      <c r="L68" s="19"/>
      <c r="M68" s="11">
        <f t="shared" ref="M68:M75" si="7">IFERROR(IFERROR(E68*F68,0)+IFERROR(H68*I68,0)+IFERROR(K68*L68,0),0)</f>
        <v>0</v>
      </c>
      <c r="N68" s="70"/>
      <c r="O68" s="1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9" t="s">
        <v>48</v>
      </c>
      <c r="B69" s="79" t="s">
        <v>24</v>
      </c>
      <c r="C69" s="47" t="s">
        <v>201</v>
      </c>
      <c r="D69" s="50">
        <v>2.0</v>
      </c>
      <c r="E69" s="23"/>
      <c r="F69" s="23"/>
      <c r="G69" s="50">
        <v>1.0</v>
      </c>
      <c r="H69" s="23"/>
      <c r="I69" s="23"/>
      <c r="J69" s="50">
        <v>0.0</v>
      </c>
      <c r="K69" s="23"/>
      <c r="L69" s="23"/>
      <c r="M69" s="11">
        <f t="shared" si="7"/>
        <v>0</v>
      </c>
      <c r="N69" s="71"/>
      <c r="O69" s="1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6" t="s">
        <v>49</v>
      </c>
      <c r="B70" s="79" t="s">
        <v>24</v>
      </c>
      <c r="C70" s="47" t="s">
        <v>201</v>
      </c>
      <c r="D70" s="48">
        <v>2.0</v>
      </c>
      <c r="E70" s="19"/>
      <c r="F70" s="19"/>
      <c r="G70" s="48">
        <v>1.0</v>
      </c>
      <c r="H70" s="19"/>
      <c r="I70" s="19"/>
      <c r="J70" s="48">
        <v>0.0</v>
      </c>
      <c r="K70" s="19"/>
      <c r="L70" s="19"/>
      <c r="M70" s="11">
        <f t="shared" si="7"/>
        <v>0</v>
      </c>
      <c r="N70" s="70"/>
      <c r="O70" s="1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9" t="s">
        <v>50</v>
      </c>
      <c r="B71" s="79" t="s">
        <v>24</v>
      </c>
      <c r="C71" s="47" t="s">
        <v>202</v>
      </c>
      <c r="D71" s="50">
        <v>0.0</v>
      </c>
      <c r="E71" s="23"/>
      <c r="F71" s="23"/>
      <c r="G71" s="50">
        <v>0.0</v>
      </c>
      <c r="H71" s="23"/>
      <c r="I71" s="23"/>
      <c r="J71" s="50">
        <v>0.0</v>
      </c>
      <c r="K71" s="23"/>
      <c r="L71" s="23"/>
      <c r="M71" s="11">
        <f t="shared" si="7"/>
        <v>0</v>
      </c>
      <c r="N71" s="71"/>
      <c r="O71" s="1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6" t="s">
        <v>51</v>
      </c>
      <c r="B72" s="79" t="s">
        <v>24</v>
      </c>
      <c r="C72" s="47" t="s">
        <v>202</v>
      </c>
      <c r="D72" s="48">
        <v>0.0</v>
      </c>
      <c r="E72" s="19"/>
      <c r="F72" s="19"/>
      <c r="G72" s="48">
        <v>0.0</v>
      </c>
      <c r="H72" s="19"/>
      <c r="I72" s="19"/>
      <c r="J72" s="48">
        <v>0.0</v>
      </c>
      <c r="K72" s="19"/>
      <c r="L72" s="19"/>
      <c r="M72" s="11">
        <f t="shared" si="7"/>
        <v>0</v>
      </c>
      <c r="N72" s="70"/>
      <c r="O72" s="1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9" t="s">
        <v>213</v>
      </c>
      <c r="B73" s="79" t="s">
        <v>24</v>
      </c>
      <c r="C73" s="47" t="s">
        <v>214</v>
      </c>
      <c r="D73" s="50">
        <v>0.0</v>
      </c>
      <c r="E73" s="23"/>
      <c r="F73" s="23"/>
      <c r="G73" s="50">
        <v>0.0</v>
      </c>
      <c r="H73" s="23"/>
      <c r="I73" s="23"/>
      <c r="J73" s="50">
        <v>0.0</v>
      </c>
      <c r="K73" s="23"/>
      <c r="L73" s="23"/>
      <c r="M73" s="11">
        <f t="shared" si="7"/>
        <v>0</v>
      </c>
      <c r="N73" s="71"/>
      <c r="O73" s="1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6" t="s">
        <v>215</v>
      </c>
      <c r="B74" s="79" t="s">
        <v>24</v>
      </c>
      <c r="C74" s="47" t="s">
        <v>201</v>
      </c>
      <c r="D74" s="48">
        <v>1.0</v>
      </c>
      <c r="E74" s="19"/>
      <c r="F74" s="19"/>
      <c r="G74" s="48">
        <v>0.0</v>
      </c>
      <c r="H74" s="19"/>
      <c r="I74" s="19"/>
      <c r="J74" s="48">
        <v>0.0</v>
      </c>
      <c r="K74" s="19"/>
      <c r="L74" s="19"/>
      <c r="M74" s="11">
        <f t="shared" si="7"/>
        <v>0</v>
      </c>
      <c r="N74" s="70"/>
      <c r="O74" s="1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9" t="s">
        <v>53</v>
      </c>
      <c r="B75" s="79" t="s">
        <v>24</v>
      </c>
      <c r="C75" s="47" t="s">
        <v>203</v>
      </c>
      <c r="D75" s="50">
        <v>0.0</v>
      </c>
      <c r="E75" s="23"/>
      <c r="F75" s="23"/>
      <c r="G75" s="50">
        <v>0.0</v>
      </c>
      <c r="H75" s="23"/>
      <c r="I75" s="23"/>
      <c r="J75" s="50">
        <v>0.0</v>
      </c>
      <c r="K75" s="23"/>
      <c r="L75" s="23"/>
      <c r="M75" s="11">
        <f t="shared" si="7"/>
        <v>0</v>
      </c>
      <c r="N75" s="71"/>
      <c r="O75" s="1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80" t="s">
        <v>220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11">
        <f>SUM(M68,M69,M70,M71,M72,M73,M74,M75)</f>
        <v>0</v>
      </c>
      <c r="N76" s="81"/>
      <c r="O76" s="8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83" t="s">
        <v>221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6" t="s">
        <v>46</v>
      </c>
      <c r="B79" s="84" t="s">
        <v>25</v>
      </c>
      <c r="C79" s="47" t="s">
        <v>200</v>
      </c>
      <c r="D79" s="48">
        <v>1.0</v>
      </c>
      <c r="E79" s="19"/>
      <c r="F79" s="19"/>
      <c r="G79" s="48">
        <v>1.0</v>
      </c>
      <c r="H79" s="19"/>
      <c r="I79" s="19"/>
      <c r="J79" s="48">
        <v>1.0</v>
      </c>
      <c r="K79" s="19"/>
      <c r="L79" s="19"/>
      <c r="M79" s="11">
        <f t="shared" ref="M79:M86" si="8">IFERROR(IFERROR(E79*F79,0)+IFERROR(H79*I79,0)+IFERROR(K79*L79,0),0)</f>
        <v>0</v>
      </c>
      <c r="N79" s="70"/>
      <c r="O79" s="1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9" t="s">
        <v>48</v>
      </c>
      <c r="B80" s="84" t="s">
        <v>25</v>
      </c>
      <c r="C80" s="47" t="s">
        <v>201</v>
      </c>
      <c r="D80" s="50">
        <v>2.0</v>
      </c>
      <c r="E80" s="23"/>
      <c r="F80" s="23"/>
      <c r="G80" s="50">
        <v>1.0</v>
      </c>
      <c r="H80" s="23"/>
      <c r="I80" s="23"/>
      <c r="J80" s="50">
        <v>0.0</v>
      </c>
      <c r="K80" s="23"/>
      <c r="L80" s="23"/>
      <c r="M80" s="11">
        <f t="shared" si="8"/>
        <v>0</v>
      </c>
      <c r="N80" s="71"/>
      <c r="O80" s="1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6" t="s">
        <v>49</v>
      </c>
      <c r="B81" s="84" t="s">
        <v>25</v>
      </c>
      <c r="C81" s="47" t="s">
        <v>201</v>
      </c>
      <c r="D81" s="48">
        <v>2.0</v>
      </c>
      <c r="E81" s="19"/>
      <c r="F81" s="19"/>
      <c r="G81" s="48">
        <v>1.0</v>
      </c>
      <c r="H81" s="19"/>
      <c r="I81" s="19"/>
      <c r="J81" s="48">
        <v>0.0</v>
      </c>
      <c r="K81" s="19"/>
      <c r="L81" s="19"/>
      <c r="M81" s="11">
        <f t="shared" si="8"/>
        <v>0</v>
      </c>
      <c r="N81" s="70"/>
      <c r="O81" s="10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9" t="s">
        <v>50</v>
      </c>
      <c r="B82" s="84" t="s">
        <v>25</v>
      </c>
      <c r="C82" s="47" t="s">
        <v>202</v>
      </c>
      <c r="D82" s="50">
        <v>0.0</v>
      </c>
      <c r="E82" s="23"/>
      <c r="F82" s="23"/>
      <c r="G82" s="50">
        <v>0.0</v>
      </c>
      <c r="H82" s="23"/>
      <c r="I82" s="23"/>
      <c r="J82" s="50">
        <v>0.0</v>
      </c>
      <c r="K82" s="23"/>
      <c r="L82" s="23"/>
      <c r="M82" s="11">
        <f t="shared" si="8"/>
        <v>0</v>
      </c>
      <c r="N82" s="71"/>
      <c r="O82" s="1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6" t="s">
        <v>51</v>
      </c>
      <c r="B83" s="84" t="s">
        <v>25</v>
      </c>
      <c r="C83" s="47" t="s">
        <v>202</v>
      </c>
      <c r="D83" s="48">
        <v>0.0</v>
      </c>
      <c r="E83" s="19"/>
      <c r="F83" s="19"/>
      <c r="G83" s="48">
        <v>0.0</v>
      </c>
      <c r="H83" s="19"/>
      <c r="I83" s="19"/>
      <c r="J83" s="48">
        <v>0.0</v>
      </c>
      <c r="K83" s="19"/>
      <c r="L83" s="19"/>
      <c r="M83" s="11">
        <f t="shared" si="8"/>
        <v>0</v>
      </c>
      <c r="N83" s="70"/>
      <c r="O83" s="10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9" t="s">
        <v>213</v>
      </c>
      <c r="B84" s="84" t="s">
        <v>25</v>
      </c>
      <c r="C84" s="47" t="s">
        <v>214</v>
      </c>
      <c r="D84" s="50">
        <v>0.0</v>
      </c>
      <c r="E84" s="23"/>
      <c r="F84" s="23"/>
      <c r="G84" s="50">
        <v>0.0</v>
      </c>
      <c r="H84" s="23"/>
      <c r="I84" s="23"/>
      <c r="J84" s="50">
        <v>0.0</v>
      </c>
      <c r="K84" s="23"/>
      <c r="L84" s="23"/>
      <c r="M84" s="11">
        <f t="shared" si="8"/>
        <v>0</v>
      </c>
      <c r="N84" s="71"/>
      <c r="O84" s="1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6" t="s">
        <v>215</v>
      </c>
      <c r="B85" s="84" t="s">
        <v>25</v>
      </c>
      <c r="C85" s="47" t="s">
        <v>201</v>
      </c>
      <c r="D85" s="48">
        <v>1.0</v>
      </c>
      <c r="E85" s="19"/>
      <c r="F85" s="19"/>
      <c r="G85" s="48">
        <v>0.0</v>
      </c>
      <c r="H85" s="19"/>
      <c r="I85" s="19"/>
      <c r="J85" s="48">
        <v>0.0</v>
      </c>
      <c r="K85" s="19"/>
      <c r="L85" s="19"/>
      <c r="M85" s="11">
        <f t="shared" si="8"/>
        <v>0</v>
      </c>
      <c r="N85" s="70"/>
      <c r="O85" s="10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9" t="s">
        <v>53</v>
      </c>
      <c r="B86" s="84" t="s">
        <v>25</v>
      </c>
      <c r="C86" s="47" t="s">
        <v>203</v>
      </c>
      <c r="D86" s="50">
        <v>0.0</v>
      </c>
      <c r="E86" s="23"/>
      <c r="F86" s="23"/>
      <c r="G86" s="50">
        <v>0.0</v>
      </c>
      <c r="H86" s="23"/>
      <c r="I86" s="23"/>
      <c r="J86" s="50">
        <v>0.0</v>
      </c>
      <c r="K86" s="23"/>
      <c r="L86" s="23"/>
      <c r="M86" s="11">
        <f t="shared" si="8"/>
        <v>0</v>
      </c>
      <c r="N86" s="71"/>
      <c r="O86" s="1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85" t="s">
        <v>222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11">
        <f>SUM(M79,M80,M81,M82,M83,M84,M85,M86)</f>
        <v>0</v>
      </c>
      <c r="N87" s="86"/>
      <c r="O87" s="8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6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25" t="s">
        <v>223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0.0" customHeight="1">
      <c r="A90" s="5" t="s">
        <v>224</v>
      </c>
      <c r="B90" s="2"/>
      <c r="C90" s="2"/>
      <c r="D90" s="2"/>
      <c r="E90" s="3"/>
      <c r="F90" s="5" t="s">
        <v>225</v>
      </c>
      <c r="G90" s="3"/>
      <c r="H90" s="5" t="s">
        <v>226</v>
      </c>
      <c r="I90" s="2"/>
      <c r="J90" s="3"/>
      <c r="K90" s="5" t="s">
        <v>227</v>
      </c>
      <c r="L90" s="2"/>
      <c r="M90" s="2"/>
      <c r="N90" s="2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87"/>
      <c r="B91" s="2"/>
      <c r="C91" s="2"/>
      <c r="D91" s="2"/>
      <c r="E91" s="3"/>
      <c r="F91" s="87"/>
      <c r="G91" s="3"/>
      <c r="H91" s="87"/>
      <c r="I91" s="2"/>
      <c r="J91" s="3"/>
      <c r="K91" s="87"/>
      <c r="L91" s="2"/>
      <c r="M91" s="2"/>
      <c r="N91" s="2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88"/>
      <c r="B92" s="2"/>
      <c r="C92" s="2"/>
      <c r="D92" s="2"/>
      <c r="E92" s="3"/>
      <c r="F92" s="88"/>
      <c r="G92" s="3"/>
      <c r="H92" s="88"/>
      <c r="I92" s="2"/>
      <c r="J92" s="3"/>
      <c r="K92" s="88"/>
      <c r="L92" s="2"/>
      <c r="M92" s="2"/>
      <c r="N92" s="2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87"/>
      <c r="B93" s="2"/>
      <c r="C93" s="2"/>
      <c r="D93" s="2"/>
      <c r="E93" s="3"/>
      <c r="F93" s="87"/>
      <c r="G93" s="3"/>
      <c r="H93" s="87"/>
      <c r="I93" s="2"/>
      <c r="J93" s="3"/>
      <c r="K93" s="87"/>
      <c r="L93" s="2"/>
      <c r="M93" s="2"/>
      <c r="N93" s="2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88"/>
      <c r="B94" s="2"/>
      <c r="C94" s="2"/>
      <c r="D94" s="2"/>
      <c r="E94" s="3"/>
      <c r="F94" s="88"/>
      <c r="G94" s="3"/>
      <c r="H94" s="88"/>
      <c r="I94" s="2"/>
      <c r="J94" s="3"/>
      <c r="K94" s="88"/>
      <c r="L94" s="2"/>
      <c r="M94" s="2"/>
      <c r="N94" s="2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O1"/>
    <mergeCell ref="A2:O2"/>
    <mergeCell ref="B3:E3"/>
    <mergeCell ref="F3:I3"/>
    <mergeCell ref="J3:O3"/>
    <mergeCell ref="A5:O5"/>
    <mergeCell ref="A13:L13"/>
    <mergeCell ref="A15:O15"/>
    <mergeCell ref="A23:L23"/>
    <mergeCell ref="A25:O25"/>
    <mergeCell ref="A33:L33"/>
    <mergeCell ref="A35:O35"/>
    <mergeCell ref="A43:L43"/>
    <mergeCell ref="A45:O45"/>
    <mergeCell ref="A54:L54"/>
    <mergeCell ref="A56:O56"/>
    <mergeCell ref="A65:L65"/>
    <mergeCell ref="A67:O67"/>
    <mergeCell ref="A76:L76"/>
    <mergeCell ref="A78:O78"/>
    <mergeCell ref="A87:L87"/>
    <mergeCell ref="H91:J91"/>
    <mergeCell ref="K91:O91"/>
    <mergeCell ref="A89:O89"/>
    <mergeCell ref="A90:E90"/>
    <mergeCell ref="F90:G90"/>
    <mergeCell ref="H90:J90"/>
    <mergeCell ref="K90:O90"/>
    <mergeCell ref="A91:E91"/>
    <mergeCell ref="F91:G91"/>
    <mergeCell ref="A93:E93"/>
    <mergeCell ref="A94:E94"/>
    <mergeCell ref="F94:G94"/>
    <mergeCell ref="H94:J94"/>
    <mergeCell ref="K94:O94"/>
    <mergeCell ref="A92:E92"/>
    <mergeCell ref="F92:G92"/>
    <mergeCell ref="H92:J92"/>
    <mergeCell ref="K92:O92"/>
    <mergeCell ref="F93:G93"/>
    <mergeCell ref="H93:J93"/>
    <mergeCell ref="K93:O9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6.0"/>
    <col customWidth="1" min="3" max="3" width="13.71"/>
    <col customWidth="1" min="4" max="4" width="7.0"/>
    <col customWidth="1" min="5" max="6" width="9.0"/>
    <col customWidth="1" min="7" max="7" width="7.0"/>
    <col customWidth="1" min="8" max="9" width="9.0"/>
    <col customWidth="1" min="10" max="10" width="7.0"/>
    <col customWidth="1" min="11" max="12" width="9.0"/>
    <col customWidth="1" min="13" max="13" width="15.0"/>
    <col customWidth="1" min="14" max="14" width="26.0"/>
    <col customWidth="1" min="15" max="15" width="9.86"/>
  </cols>
  <sheetData>
    <row r="1" ht="33.75" customHeight="1">
      <c r="A1" s="89">
        <v>0.0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2" t="s">
        <v>228</v>
      </c>
      <c r="B3" s="43" t="s">
        <v>229</v>
      </c>
      <c r="C3" s="2"/>
      <c r="D3" s="2"/>
      <c r="E3" s="3"/>
      <c r="F3" s="43" t="s">
        <v>230</v>
      </c>
      <c r="G3" s="2"/>
      <c r="H3" s="2"/>
      <c r="I3" s="3"/>
      <c r="J3" s="29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5" t="s">
        <v>28</v>
      </c>
      <c r="B4" s="15" t="s">
        <v>185</v>
      </c>
      <c r="C4" s="15" t="s">
        <v>186</v>
      </c>
      <c r="D4" s="15" t="s">
        <v>187</v>
      </c>
      <c r="E4" s="44" t="s">
        <v>188</v>
      </c>
      <c r="F4" s="44" t="s">
        <v>189</v>
      </c>
      <c r="G4" s="15" t="s">
        <v>190</v>
      </c>
      <c r="H4" s="44" t="s">
        <v>191</v>
      </c>
      <c r="I4" s="44" t="s">
        <v>192</v>
      </c>
      <c r="J4" s="15" t="s">
        <v>193</v>
      </c>
      <c r="K4" s="44" t="s">
        <v>194</v>
      </c>
      <c r="L4" s="44" t="s">
        <v>195</v>
      </c>
      <c r="M4" s="15" t="s">
        <v>196</v>
      </c>
      <c r="N4" s="44" t="s">
        <v>197</v>
      </c>
      <c r="O4" s="15" t="s">
        <v>198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5" t="s">
        <v>199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46" t="s">
        <v>55</v>
      </c>
      <c r="B6" s="15" t="s">
        <v>18</v>
      </c>
      <c r="C6" s="47" t="s">
        <v>200</v>
      </c>
      <c r="D6" s="48">
        <v>1.0</v>
      </c>
      <c r="E6" s="38">
        <v>0.0</v>
      </c>
      <c r="F6" s="38">
        <v>0.0</v>
      </c>
      <c r="G6" s="48">
        <v>1.0</v>
      </c>
      <c r="H6" s="38">
        <v>0.0</v>
      </c>
      <c r="I6" s="38">
        <v>0.0</v>
      </c>
      <c r="J6" s="48">
        <v>1.0</v>
      </c>
      <c r="K6" s="38">
        <v>0.0</v>
      </c>
      <c r="L6" s="38">
        <v>0.0</v>
      </c>
      <c r="M6" s="11">
        <f t="shared" ref="M6:M12" si="1">IFERROR(IFERROR(E6*F6,0)+IFERROR(H6*I6,0)+IFERROR(K6*L6,0),0)</f>
        <v>0</v>
      </c>
      <c r="N6" s="10"/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9" t="s">
        <v>56</v>
      </c>
      <c r="B7" s="15" t="s">
        <v>18</v>
      </c>
      <c r="C7" s="47" t="s">
        <v>200</v>
      </c>
      <c r="D7" s="50">
        <v>1.0</v>
      </c>
      <c r="E7" s="38">
        <v>0.0</v>
      </c>
      <c r="F7" s="38">
        <v>0.0</v>
      </c>
      <c r="G7" s="50">
        <v>1.0</v>
      </c>
      <c r="H7" s="38">
        <v>0.0</v>
      </c>
      <c r="I7" s="38">
        <v>0.0</v>
      </c>
      <c r="J7" s="50">
        <v>1.0</v>
      </c>
      <c r="K7" s="38">
        <v>0.0</v>
      </c>
      <c r="L7" s="38">
        <v>0.0</v>
      </c>
      <c r="M7" s="11">
        <f t="shared" si="1"/>
        <v>0</v>
      </c>
      <c r="N7" s="13"/>
      <c r="O7" s="3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6" t="s">
        <v>57</v>
      </c>
      <c r="B8" s="15" t="s">
        <v>18</v>
      </c>
      <c r="C8" s="47" t="s">
        <v>231</v>
      </c>
      <c r="D8" s="48">
        <v>1.0</v>
      </c>
      <c r="E8" s="38">
        <v>0.0</v>
      </c>
      <c r="F8" s="38">
        <v>0.0</v>
      </c>
      <c r="G8" s="48">
        <v>1.0</v>
      </c>
      <c r="H8" s="38">
        <v>0.0</v>
      </c>
      <c r="I8" s="38">
        <v>0.0</v>
      </c>
      <c r="J8" s="48">
        <v>0.0</v>
      </c>
      <c r="K8" s="38">
        <v>0.0</v>
      </c>
      <c r="L8" s="38">
        <v>0.0</v>
      </c>
      <c r="M8" s="11">
        <f t="shared" si="1"/>
        <v>0</v>
      </c>
      <c r="N8" s="51"/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9" t="s">
        <v>58</v>
      </c>
      <c r="B9" s="15" t="s">
        <v>18</v>
      </c>
      <c r="C9" s="47" t="s">
        <v>232</v>
      </c>
      <c r="D9" s="50">
        <v>0.0</v>
      </c>
      <c r="E9" s="38">
        <v>0.0</v>
      </c>
      <c r="F9" s="38">
        <v>0.0</v>
      </c>
      <c r="G9" s="50">
        <v>0.0</v>
      </c>
      <c r="H9" s="38">
        <v>0.0</v>
      </c>
      <c r="I9" s="38">
        <v>0.0</v>
      </c>
      <c r="J9" s="50">
        <v>0.0</v>
      </c>
      <c r="K9" s="38">
        <v>0.0</v>
      </c>
      <c r="L9" s="38">
        <v>0.0</v>
      </c>
      <c r="M9" s="11">
        <f t="shared" si="1"/>
        <v>0</v>
      </c>
      <c r="N9" s="13"/>
      <c r="O9" s="3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6" t="s">
        <v>59</v>
      </c>
      <c r="B10" s="15" t="s">
        <v>18</v>
      </c>
      <c r="C10" s="47" t="s">
        <v>233</v>
      </c>
      <c r="D10" s="48">
        <v>1.0</v>
      </c>
      <c r="E10" s="38">
        <v>0.0</v>
      </c>
      <c r="F10" s="38">
        <v>0.0</v>
      </c>
      <c r="G10" s="48">
        <v>0.0</v>
      </c>
      <c r="H10" s="38">
        <v>0.0</v>
      </c>
      <c r="I10" s="38">
        <v>0.0</v>
      </c>
      <c r="J10" s="48">
        <v>0.0</v>
      </c>
      <c r="K10" s="38">
        <v>0.0</v>
      </c>
      <c r="L10" s="38">
        <v>0.0</v>
      </c>
      <c r="M10" s="11">
        <f t="shared" si="1"/>
        <v>0</v>
      </c>
      <c r="N10" s="51"/>
      <c r="O10" s="3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9" t="s">
        <v>60</v>
      </c>
      <c r="B11" s="15" t="s">
        <v>18</v>
      </c>
      <c r="C11" s="47" t="s">
        <v>214</v>
      </c>
      <c r="D11" s="50">
        <v>0.0</v>
      </c>
      <c r="E11" s="38">
        <v>0.0</v>
      </c>
      <c r="F11" s="38">
        <v>0.0</v>
      </c>
      <c r="G11" s="50">
        <v>0.0</v>
      </c>
      <c r="H11" s="38">
        <v>0.0</v>
      </c>
      <c r="I11" s="38">
        <v>0.0</v>
      </c>
      <c r="J11" s="50">
        <v>0.0</v>
      </c>
      <c r="K11" s="38">
        <v>0.0</v>
      </c>
      <c r="L11" s="38">
        <v>0.0</v>
      </c>
      <c r="M11" s="11">
        <f t="shared" si="1"/>
        <v>0</v>
      </c>
      <c r="N11" s="51"/>
      <c r="O11" s="3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6" t="s">
        <v>61</v>
      </c>
      <c r="B12" s="15" t="s">
        <v>18</v>
      </c>
      <c r="C12" s="47" t="s">
        <v>234</v>
      </c>
      <c r="D12" s="48">
        <v>0.0</v>
      </c>
      <c r="E12" s="38">
        <v>0.0</v>
      </c>
      <c r="F12" s="38">
        <v>0.0</v>
      </c>
      <c r="G12" s="48">
        <v>0.0</v>
      </c>
      <c r="H12" s="38">
        <v>0.0</v>
      </c>
      <c r="I12" s="38">
        <v>0.0</v>
      </c>
      <c r="J12" s="48">
        <v>0.0</v>
      </c>
      <c r="K12" s="38">
        <v>0.0</v>
      </c>
      <c r="L12" s="38">
        <v>0.0</v>
      </c>
      <c r="M12" s="11">
        <f t="shared" si="1"/>
        <v>0</v>
      </c>
      <c r="N12" s="51"/>
      <c r="O12" s="3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52" t="s">
        <v>204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11">
        <f>SUM(M6,M7,M8,M9,M10,M11,M12)</f>
        <v>0</v>
      </c>
      <c r="N13" s="53"/>
      <c r="O13" s="5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54" t="s">
        <v>205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6" t="s">
        <v>55</v>
      </c>
      <c r="B16" s="55" t="s">
        <v>19</v>
      </c>
      <c r="C16" s="47" t="s">
        <v>200</v>
      </c>
      <c r="D16" s="48">
        <v>1.0</v>
      </c>
      <c r="E16" s="19">
        <v>12.0</v>
      </c>
      <c r="F16" s="19">
        <v>70.0</v>
      </c>
      <c r="G16" s="48">
        <v>1.0</v>
      </c>
      <c r="H16" s="19">
        <v>10.0</v>
      </c>
      <c r="I16" s="19">
        <v>80.0</v>
      </c>
      <c r="J16" s="48">
        <v>1.0</v>
      </c>
      <c r="K16" s="19">
        <v>10.0</v>
      </c>
      <c r="L16" s="19">
        <v>70.0</v>
      </c>
      <c r="M16" s="11">
        <f t="shared" ref="M16:M22" si="2">IFERROR(IFERROR(E16*F16,0)+IFERROR(H16*I16,0)+IFERROR(K16*L16,0),0)</f>
        <v>2340</v>
      </c>
      <c r="N16" s="10"/>
      <c r="O16" s="3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9" t="s">
        <v>56</v>
      </c>
      <c r="B17" s="55" t="s">
        <v>19</v>
      </c>
      <c r="C17" s="47" t="s">
        <v>200</v>
      </c>
      <c r="D17" s="50">
        <v>1.0</v>
      </c>
      <c r="E17" s="23">
        <v>10.0</v>
      </c>
      <c r="F17" s="23">
        <v>60.0</v>
      </c>
      <c r="G17" s="50">
        <v>1.0</v>
      </c>
      <c r="H17" s="23">
        <v>10.0</v>
      </c>
      <c r="I17" s="23">
        <v>60.0</v>
      </c>
      <c r="J17" s="50">
        <v>1.0</v>
      </c>
      <c r="K17" s="23">
        <v>10.0</v>
      </c>
      <c r="L17" s="23">
        <v>60.0</v>
      </c>
      <c r="M17" s="11">
        <f t="shared" si="2"/>
        <v>1800</v>
      </c>
      <c r="N17" s="13"/>
      <c r="O17" s="3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6" t="s">
        <v>57</v>
      </c>
      <c r="B18" s="55" t="s">
        <v>19</v>
      </c>
      <c r="C18" s="47" t="s">
        <v>231</v>
      </c>
      <c r="D18" s="48">
        <v>1.0</v>
      </c>
      <c r="E18" s="19">
        <v>10.0</v>
      </c>
      <c r="F18" s="19">
        <v>70.0</v>
      </c>
      <c r="G18" s="48">
        <v>1.0</v>
      </c>
      <c r="H18" s="19">
        <v>10.0</v>
      </c>
      <c r="I18" s="19">
        <v>80.0</v>
      </c>
      <c r="J18" s="48">
        <v>0.0</v>
      </c>
      <c r="K18" s="19">
        <v>10.0</v>
      </c>
      <c r="L18" s="19">
        <v>70.0</v>
      </c>
      <c r="M18" s="11">
        <f t="shared" si="2"/>
        <v>2200</v>
      </c>
      <c r="N18" s="51"/>
      <c r="O18" s="3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9" t="s">
        <v>58</v>
      </c>
      <c r="B19" s="55" t="s">
        <v>19</v>
      </c>
      <c r="C19" s="47" t="s">
        <v>232</v>
      </c>
      <c r="D19" s="50">
        <v>0.0</v>
      </c>
      <c r="E19" s="23">
        <v>12.0</v>
      </c>
      <c r="F19" s="23">
        <v>30.0</v>
      </c>
      <c r="G19" s="50">
        <v>0.0</v>
      </c>
      <c r="H19" s="23">
        <v>12.0</v>
      </c>
      <c r="I19" s="23">
        <v>30.0</v>
      </c>
      <c r="J19" s="50">
        <v>0.0</v>
      </c>
      <c r="K19" s="23">
        <v>12.0</v>
      </c>
      <c r="L19" s="23">
        <v>30.0</v>
      </c>
      <c r="M19" s="11">
        <f t="shared" si="2"/>
        <v>1080</v>
      </c>
      <c r="N19" s="13"/>
      <c r="O19" s="3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6" t="s">
        <v>59</v>
      </c>
      <c r="B20" s="55" t="s">
        <v>19</v>
      </c>
      <c r="C20" s="47" t="s">
        <v>233</v>
      </c>
      <c r="D20" s="48">
        <v>1.0</v>
      </c>
      <c r="E20" s="19">
        <v>10.0</v>
      </c>
      <c r="F20" s="19">
        <v>35.0</v>
      </c>
      <c r="G20" s="48">
        <v>0.0</v>
      </c>
      <c r="H20" s="19">
        <v>10.0</v>
      </c>
      <c r="I20" s="19">
        <v>35.0</v>
      </c>
      <c r="J20" s="48">
        <v>0.0</v>
      </c>
      <c r="K20" s="19">
        <v>10.0</v>
      </c>
      <c r="L20" s="19">
        <v>35.0</v>
      </c>
      <c r="M20" s="11">
        <f t="shared" si="2"/>
        <v>1050</v>
      </c>
      <c r="N20" s="51"/>
      <c r="O20" s="3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9" t="s">
        <v>60</v>
      </c>
      <c r="B21" s="55" t="s">
        <v>19</v>
      </c>
      <c r="C21" s="47" t="s">
        <v>214</v>
      </c>
      <c r="D21" s="50">
        <v>0.0</v>
      </c>
      <c r="E21" s="23">
        <v>12.0</v>
      </c>
      <c r="F21" s="23">
        <v>15.0</v>
      </c>
      <c r="G21" s="50">
        <v>0.0</v>
      </c>
      <c r="H21" s="23">
        <v>12.0</v>
      </c>
      <c r="I21" s="23">
        <v>15.0</v>
      </c>
      <c r="J21" s="50">
        <v>0.0</v>
      </c>
      <c r="K21" s="23">
        <v>12.0</v>
      </c>
      <c r="L21" s="23">
        <v>15.0</v>
      </c>
      <c r="M21" s="11">
        <f t="shared" si="2"/>
        <v>540</v>
      </c>
      <c r="N21" s="51"/>
      <c r="O21" s="3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6" t="s">
        <v>61</v>
      </c>
      <c r="B22" s="55" t="s">
        <v>19</v>
      </c>
      <c r="C22" s="47" t="s">
        <v>234</v>
      </c>
      <c r="D22" s="48">
        <v>0.0</v>
      </c>
      <c r="E22" s="19">
        <v>15.0</v>
      </c>
      <c r="F22" s="19">
        <v>55.0</v>
      </c>
      <c r="G22" s="48">
        <v>0.0</v>
      </c>
      <c r="H22" s="19">
        <v>15.0</v>
      </c>
      <c r="I22" s="19">
        <v>55.0</v>
      </c>
      <c r="J22" s="48">
        <v>0.0</v>
      </c>
      <c r="K22" s="19">
        <v>15.0</v>
      </c>
      <c r="L22" s="19">
        <v>55.0</v>
      </c>
      <c r="M22" s="11">
        <f t="shared" si="2"/>
        <v>2475</v>
      </c>
      <c r="N22" s="51"/>
      <c r="O22" s="3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8" t="s">
        <v>207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11">
        <f>SUM(M16,M17,M18,M19,M20,M21,M22)</f>
        <v>11485</v>
      </c>
      <c r="N23" s="59"/>
      <c r="O23" s="5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0" t="s">
        <v>208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6" t="s">
        <v>55</v>
      </c>
      <c r="B26" s="61" t="s">
        <v>20</v>
      </c>
      <c r="C26" s="47" t="s">
        <v>200</v>
      </c>
      <c r="D26" s="48">
        <v>1.0</v>
      </c>
      <c r="E26" s="19">
        <v>10.0</v>
      </c>
      <c r="F26" s="19">
        <v>70.0</v>
      </c>
      <c r="G26" s="48">
        <v>1.0</v>
      </c>
      <c r="H26" s="19">
        <v>10.0</v>
      </c>
      <c r="I26" s="19">
        <v>70.0</v>
      </c>
      <c r="J26" s="48">
        <v>1.0</v>
      </c>
      <c r="K26" s="19">
        <v>10.0</v>
      </c>
      <c r="L26" s="19">
        <v>70.0</v>
      </c>
      <c r="M26" s="11">
        <f t="shared" ref="M26:M32" si="3">IFERROR(IFERROR(E26*F26,0)+IFERROR(H26*I26,0)+IFERROR(K26*L26,0),0)</f>
        <v>2100</v>
      </c>
      <c r="N26" s="10"/>
      <c r="O26" s="3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9" t="s">
        <v>56</v>
      </c>
      <c r="B27" s="61" t="s">
        <v>20</v>
      </c>
      <c r="C27" s="47" t="s">
        <v>200</v>
      </c>
      <c r="D27" s="50">
        <v>1.0</v>
      </c>
      <c r="E27" s="23">
        <v>10.0</v>
      </c>
      <c r="F27" s="23">
        <v>60.0</v>
      </c>
      <c r="G27" s="50">
        <v>1.0</v>
      </c>
      <c r="H27" s="23">
        <v>11.0</v>
      </c>
      <c r="I27" s="23">
        <v>60.0</v>
      </c>
      <c r="J27" s="50">
        <v>1.0</v>
      </c>
      <c r="K27" s="23">
        <v>10.0</v>
      </c>
      <c r="L27" s="23">
        <v>60.0</v>
      </c>
      <c r="M27" s="11">
        <f t="shared" si="3"/>
        <v>1860</v>
      </c>
      <c r="N27" s="13"/>
      <c r="O27" s="3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6" t="s">
        <v>57</v>
      </c>
      <c r="B28" s="61" t="s">
        <v>20</v>
      </c>
      <c r="C28" s="47" t="s">
        <v>231</v>
      </c>
      <c r="D28" s="48">
        <v>1.0</v>
      </c>
      <c r="E28" s="19">
        <v>12.0</v>
      </c>
      <c r="F28" s="19">
        <v>80.0</v>
      </c>
      <c r="G28" s="48">
        <v>1.0</v>
      </c>
      <c r="H28" s="19">
        <v>11.0</v>
      </c>
      <c r="I28" s="19">
        <v>80.0</v>
      </c>
      <c r="J28" s="48">
        <v>0.0</v>
      </c>
      <c r="K28" s="19">
        <v>10.0</v>
      </c>
      <c r="L28" s="19">
        <v>80.0</v>
      </c>
      <c r="M28" s="11">
        <f t="shared" si="3"/>
        <v>2640</v>
      </c>
      <c r="N28" s="51"/>
      <c r="O28" s="3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9" t="s">
        <v>58</v>
      </c>
      <c r="B29" s="61" t="s">
        <v>20</v>
      </c>
      <c r="C29" s="47" t="s">
        <v>232</v>
      </c>
      <c r="D29" s="50">
        <v>0.0</v>
      </c>
      <c r="E29" s="23">
        <v>12.0</v>
      </c>
      <c r="F29" s="23">
        <v>30.0</v>
      </c>
      <c r="G29" s="50">
        <v>0.0</v>
      </c>
      <c r="H29" s="23">
        <v>12.0</v>
      </c>
      <c r="I29" s="23">
        <v>30.0</v>
      </c>
      <c r="J29" s="50">
        <v>0.0</v>
      </c>
      <c r="K29" s="23">
        <v>11.0</v>
      </c>
      <c r="L29" s="23">
        <v>35.0</v>
      </c>
      <c r="M29" s="11">
        <f t="shared" si="3"/>
        <v>1105</v>
      </c>
      <c r="N29" s="13"/>
      <c r="O29" s="3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6" t="s">
        <v>59</v>
      </c>
      <c r="B30" s="61" t="s">
        <v>20</v>
      </c>
      <c r="C30" s="47" t="s">
        <v>233</v>
      </c>
      <c r="D30" s="48">
        <v>1.0</v>
      </c>
      <c r="E30" s="19">
        <v>12.0</v>
      </c>
      <c r="F30" s="19">
        <v>35.0</v>
      </c>
      <c r="G30" s="48">
        <v>0.0</v>
      </c>
      <c r="H30" s="19">
        <v>12.0</v>
      </c>
      <c r="I30" s="19">
        <v>35.0</v>
      </c>
      <c r="J30" s="48">
        <v>0.0</v>
      </c>
      <c r="K30" s="19">
        <v>12.0</v>
      </c>
      <c r="L30" s="19">
        <v>35.0</v>
      </c>
      <c r="M30" s="11">
        <f t="shared" si="3"/>
        <v>1260</v>
      </c>
      <c r="N30" s="51"/>
      <c r="O30" s="3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9" t="s">
        <v>60</v>
      </c>
      <c r="B31" s="61" t="s">
        <v>20</v>
      </c>
      <c r="C31" s="47" t="s">
        <v>214</v>
      </c>
      <c r="D31" s="50">
        <v>0.0</v>
      </c>
      <c r="E31" s="23">
        <v>12.0</v>
      </c>
      <c r="F31" s="23">
        <v>15.0</v>
      </c>
      <c r="G31" s="50">
        <v>0.0</v>
      </c>
      <c r="H31" s="23">
        <v>12.0</v>
      </c>
      <c r="I31" s="23">
        <v>15.0</v>
      </c>
      <c r="J31" s="50">
        <v>0.0</v>
      </c>
      <c r="K31" s="23">
        <v>12.0</v>
      </c>
      <c r="L31" s="23">
        <v>15.0</v>
      </c>
      <c r="M31" s="11">
        <f t="shared" si="3"/>
        <v>540</v>
      </c>
      <c r="N31" s="51"/>
      <c r="O31" s="3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6" t="s">
        <v>61</v>
      </c>
      <c r="B32" s="61" t="s">
        <v>20</v>
      </c>
      <c r="C32" s="47" t="s">
        <v>234</v>
      </c>
      <c r="D32" s="48">
        <v>0.0</v>
      </c>
      <c r="E32" s="19">
        <v>12.0</v>
      </c>
      <c r="F32" s="19">
        <v>55.0</v>
      </c>
      <c r="G32" s="48">
        <v>0.0</v>
      </c>
      <c r="H32" s="19">
        <v>12.0</v>
      </c>
      <c r="I32" s="19">
        <v>55.0</v>
      </c>
      <c r="J32" s="48">
        <v>0.0</v>
      </c>
      <c r="K32" s="19">
        <v>12.0</v>
      </c>
      <c r="L32" s="19">
        <v>55.0</v>
      </c>
      <c r="M32" s="11">
        <f t="shared" si="3"/>
        <v>1980</v>
      </c>
      <c r="N32" s="51"/>
      <c r="O32" s="3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2" t="s">
        <v>209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11">
        <f>SUM(M26,M27,M28,M29,M30,M31,M32)</f>
        <v>11485</v>
      </c>
      <c r="N33" s="63"/>
      <c r="O33" s="6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4" t="s">
        <v>210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6" t="s">
        <v>55</v>
      </c>
      <c r="B36" s="65" t="s">
        <v>21</v>
      </c>
      <c r="C36" s="47" t="s">
        <v>200</v>
      </c>
      <c r="D36" s="48">
        <v>1.0</v>
      </c>
      <c r="E36" s="19">
        <v>12.0</v>
      </c>
      <c r="F36" s="19">
        <v>70.0</v>
      </c>
      <c r="G36" s="48">
        <v>1.0</v>
      </c>
      <c r="H36" s="19">
        <v>12.0</v>
      </c>
      <c r="I36" s="19">
        <v>70.0</v>
      </c>
      <c r="J36" s="48">
        <v>1.0</v>
      </c>
      <c r="K36" s="19">
        <v>11.0</v>
      </c>
      <c r="L36" s="19">
        <v>70.0</v>
      </c>
      <c r="M36" s="11">
        <f t="shared" ref="M36:M42" si="4">IFERROR(IFERROR(E36*F36,0)+IFERROR(H36*I36,0)+IFERROR(K36*L36,0),0)</f>
        <v>2450</v>
      </c>
      <c r="N36" s="10"/>
      <c r="O36" s="3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9" t="s">
        <v>56</v>
      </c>
      <c r="B37" s="65" t="s">
        <v>21</v>
      </c>
      <c r="C37" s="47" t="s">
        <v>200</v>
      </c>
      <c r="D37" s="50">
        <v>1.0</v>
      </c>
      <c r="E37" s="23">
        <v>10.0</v>
      </c>
      <c r="F37" s="23">
        <v>80.0</v>
      </c>
      <c r="G37" s="50">
        <v>1.0</v>
      </c>
      <c r="H37" s="23">
        <v>10.0</v>
      </c>
      <c r="I37" s="23">
        <v>80.0</v>
      </c>
      <c r="J37" s="50">
        <v>1.0</v>
      </c>
      <c r="K37" s="23">
        <v>10.0</v>
      </c>
      <c r="L37" s="23">
        <v>80.0</v>
      </c>
      <c r="M37" s="11">
        <f t="shared" si="4"/>
        <v>2400</v>
      </c>
      <c r="N37" s="13"/>
      <c r="O37" s="3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0" t="s">
        <v>57</v>
      </c>
      <c r="B38" s="65" t="s">
        <v>21</v>
      </c>
      <c r="C38" s="47" t="s">
        <v>231</v>
      </c>
      <c r="D38" s="48">
        <v>1.0</v>
      </c>
      <c r="E38" s="19">
        <v>12.0</v>
      </c>
      <c r="F38" s="38">
        <v>80.0</v>
      </c>
      <c r="G38" s="48">
        <v>1.0</v>
      </c>
      <c r="H38" s="19">
        <v>12.0</v>
      </c>
      <c r="I38" s="38">
        <v>80.0</v>
      </c>
      <c r="J38" s="48">
        <v>0.0</v>
      </c>
      <c r="K38" s="19">
        <v>12.0</v>
      </c>
      <c r="L38" s="38">
        <v>80.0</v>
      </c>
      <c r="M38" s="11">
        <f t="shared" si="4"/>
        <v>2880</v>
      </c>
      <c r="N38" s="51"/>
      <c r="O38" s="3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9" t="s">
        <v>58</v>
      </c>
      <c r="B39" s="65" t="s">
        <v>21</v>
      </c>
      <c r="C39" s="47" t="s">
        <v>232</v>
      </c>
      <c r="D39" s="50">
        <v>0.0</v>
      </c>
      <c r="E39" s="23">
        <v>12.0</v>
      </c>
      <c r="F39" s="23">
        <v>30.0</v>
      </c>
      <c r="G39" s="50">
        <v>0.0</v>
      </c>
      <c r="H39" s="23">
        <v>12.0</v>
      </c>
      <c r="I39" s="23">
        <v>30.0</v>
      </c>
      <c r="J39" s="50">
        <v>0.0</v>
      </c>
      <c r="K39" s="23">
        <v>12.0</v>
      </c>
      <c r="L39" s="23">
        <v>30.0</v>
      </c>
      <c r="M39" s="11">
        <f t="shared" si="4"/>
        <v>1080</v>
      </c>
      <c r="N39" s="13"/>
      <c r="O39" s="3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6" t="s">
        <v>59</v>
      </c>
      <c r="B40" s="65" t="s">
        <v>21</v>
      </c>
      <c r="C40" s="47" t="s">
        <v>233</v>
      </c>
      <c r="D40" s="48">
        <v>1.0</v>
      </c>
      <c r="E40" s="19">
        <v>12.0</v>
      </c>
      <c r="F40" s="19">
        <v>35.0</v>
      </c>
      <c r="G40" s="48">
        <v>0.0</v>
      </c>
      <c r="H40" s="19">
        <v>12.0</v>
      </c>
      <c r="I40" s="19">
        <v>35.0</v>
      </c>
      <c r="J40" s="48">
        <v>0.0</v>
      </c>
      <c r="K40" s="19">
        <v>12.0</v>
      </c>
      <c r="L40" s="19">
        <v>35.0</v>
      </c>
      <c r="M40" s="11">
        <f t="shared" si="4"/>
        <v>1260</v>
      </c>
      <c r="N40" s="51"/>
      <c r="O40" s="3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9" t="s">
        <v>60</v>
      </c>
      <c r="B41" s="65" t="s">
        <v>21</v>
      </c>
      <c r="C41" s="47" t="s">
        <v>214</v>
      </c>
      <c r="D41" s="50">
        <v>0.0</v>
      </c>
      <c r="E41" s="23">
        <v>12.0</v>
      </c>
      <c r="F41" s="23">
        <v>15.0</v>
      </c>
      <c r="G41" s="50">
        <v>0.0</v>
      </c>
      <c r="H41" s="23">
        <v>12.0</v>
      </c>
      <c r="I41" s="23">
        <v>15.0</v>
      </c>
      <c r="J41" s="50">
        <v>0.0</v>
      </c>
      <c r="K41" s="23">
        <v>12.0</v>
      </c>
      <c r="L41" s="23">
        <v>15.0</v>
      </c>
      <c r="M41" s="11">
        <f t="shared" si="4"/>
        <v>540</v>
      </c>
      <c r="N41" s="51"/>
      <c r="O41" s="3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6" t="s">
        <v>61</v>
      </c>
      <c r="B42" s="65" t="s">
        <v>21</v>
      </c>
      <c r="C42" s="47" t="s">
        <v>234</v>
      </c>
      <c r="D42" s="48">
        <v>0.0</v>
      </c>
      <c r="E42" s="19">
        <v>12.0</v>
      </c>
      <c r="F42" s="19">
        <v>55.0</v>
      </c>
      <c r="G42" s="48">
        <v>0.0</v>
      </c>
      <c r="H42" s="19">
        <v>12.0</v>
      </c>
      <c r="I42" s="19">
        <v>55.0</v>
      </c>
      <c r="J42" s="48">
        <v>0.0</v>
      </c>
      <c r="K42" s="19">
        <v>12.0</v>
      </c>
      <c r="L42" s="19">
        <v>55.0</v>
      </c>
      <c r="M42" s="11">
        <f t="shared" si="4"/>
        <v>1980</v>
      </c>
      <c r="N42" s="51"/>
      <c r="O42" s="3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6" t="s">
        <v>211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11">
        <f>SUM(M36,M37,M38,M39,M40,M41,M42)</f>
        <v>12590</v>
      </c>
      <c r="N43" s="67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8" t="s">
        <v>212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6" t="s">
        <v>55</v>
      </c>
      <c r="B46" s="69" t="s">
        <v>22</v>
      </c>
      <c r="C46" s="47" t="s">
        <v>200</v>
      </c>
      <c r="D46" s="48">
        <v>1.0</v>
      </c>
      <c r="E46" s="19"/>
      <c r="F46" s="19"/>
      <c r="G46" s="48">
        <v>1.0</v>
      </c>
      <c r="H46" s="19"/>
      <c r="I46" s="19"/>
      <c r="J46" s="48">
        <v>1.0</v>
      </c>
      <c r="K46" s="19"/>
      <c r="L46" s="19"/>
      <c r="M46" s="11">
        <f t="shared" ref="M46:M54" si="5">IFERROR(IFERROR(E46*F46,0)+IFERROR(H46*I46,0)+IFERROR(K46*L46,0),0)</f>
        <v>0</v>
      </c>
      <c r="N46" s="70"/>
      <c r="O46" s="1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9" t="s">
        <v>56</v>
      </c>
      <c r="B47" s="69" t="s">
        <v>22</v>
      </c>
      <c r="C47" s="47" t="s">
        <v>200</v>
      </c>
      <c r="D47" s="50">
        <v>1.0</v>
      </c>
      <c r="E47" s="23"/>
      <c r="F47" s="23"/>
      <c r="G47" s="50">
        <v>1.0</v>
      </c>
      <c r="H47" s="23"/>
      <c r="I47" s="23"/>
      <c r="J47" s="50">
        <v>1.0</v>
      </c>
      <c r="K47" s="23"/>
      <c r="L47" s="23"/>
      <c r="M47" s="11">
        <f t="shared" si="5"/>
        <v>0</v>
      </c>
      <c r="N47" s="71"/>
      <c r="O47" s="1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6" t="s">
        <v>235</v>
      </c>
      <c r="B48" s="69" t="s">
        <v>22</v>
      </c>
      <c r="C48" s="47" t="s">
        <v>236</v>
      </c>
      <c r="D48" s="48">
        <v>0.0</v>
      </c>
      <c r="E48" s="19"/>
      <c r="F48" s="19"/>
      <c r="G48" s="48">
        <v>0.0</v>
      </c>
      <c r="H48" s="19"/>
      <c r="I48" s="19"/>
      <c r="J48" s="48">
        <v>0.0</v>
      </c>
      <c r="K48" s="19"/>
      <c r="L48" s="19"/>
      <c r="M48" s="11">
        <f t="shared" si="5"/>
        <v>0</v>
      </c>
      <c r="N48" s="70"/>
      <c r="O48" s="1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9" t="s">
        <v>57</v>
      </c>
      <c r="B49" s="69" t="s">
        <v>22</v>
      </c>
      <c r="C49" s="47" t="s">
        <v>231</v>
      </c>
      <c r="D49" s="50">
        <v>1.0</v>
      </c>
      <c r="E49" s="23"/>
      <c r="F49" s="23"/>
      <c r="G49" s="50">
        <v>1.0</v>
      </c>
      <c r="H49" s="23"/>
      <c r="I49" s="23"/>
      <c r="J49" s="50">
        <v>0.0</v>
      </c>
      <c r="K49" s="23"/>
      <c r="L49" s="23"/>
      <c r="M49" s="11">
        <f t="shared" si="5"/>
        <v>0</v>
      </c>
      <c r="N49" s="71"/>
      <c r="O49" s="1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6" t="s">
        <v>237</v>
      </c>
      <c r="B50" s="69" t="s">
        <v>22</v>
      </c>
      <c r="C50" s="47" t="s">
        <v>202</v>
      </c>
      <c r="D50" s="48">
        <v>1.0</v>
      </c>
      <c r="E50" s="19"/>
      <c r="F50" s="19"/>
      <c r="G50" s="48">
        <v>1.0</v>
      </c>
      <c r="H50" s="19"/>
      <c r="I50" s="19"/>
      <c r="J50" s="48">
        <v>1.0</v>
      </c>
      <c r="K50" s="19"/>
      <c r="L50" s="19"/>
      <c r="M50" s="11">
        <f t="shared" si="5"/>
        <v>0</v>
      </c>
      <c r="N50" s="70"/>
      <c r="O50" s="10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9" t="s">
        <v>238</v>
      </c>
      <c r="B51" s="69" t="s">
        <v>22</v>
      </c>
      <c r="C51" s="47" t="s">
        <v>239</v>
      </c>
      <c r="D51" s="50">
        <v>0.0</v>
      </c>
      <c r="E51" s="23"/>
      <c r="F51" s="23"/>
      <c r="G51" s="50">
        <v>0.0</v>
      </c>
      <c r="H51" s="23"/>
      <c r="I51" s="23"/>
      <c r="J51" s="50">
        <v>0.0</v>
      </c>
      <c r="K51" s="23"/>
      <c r="L51" s="23"/>
      <c r="M51" s="11">
        <f t="shared" si="5"/>
        <v>0</v>
      </c>
      <c r="N51" s="71"/>
      <c r="O51" s="1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6" t="s">
        <v>59</v>
      </c>
      <c r="B52" s="69" t="s">
        <v>22</v>
      </c>
      <c r="C52" s="47" t="s">
        <v>233</v>
      </c>
      <c r="D52" s="48">
        <v>1.0</v>
      </c>
      <c r="E52" s="19"/>
      <c r="F52" s="19"/>
      <c r="G52" s="48">
        <v>0.0</v>
      </c>
      <c r="H52" s="19"/>
      <c r="I52" s="19"/>
      <c r="J52" s="48">
        <v>0.0</v>
      </c>
      <c r="K52" s="19"/>
      <c r="L52" s="19"/>
      <c r="M52" s="11">
        <f t="shared" si="5"/>
        <v>0</v>
      </c>
      <c r="N52" s="70"/>
      <c r="O52" s="1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9" t="s">
        <v>60</v>
      </c>
      <c r="B53" s="69" t="s">
        <v>22</v>
      </c>
      <c r="C53" s="47" t="s">
        <v>214</v>
      </c>
      <c r="D53" s="50">
        <v>0.0</v>
      </c>
      <c r="E53" s="23"/>
      <c r="F53" s="23"/>
      <c r="G53" s="50">
        <v>0.0</v>
      </c>
      <c r="H53" s="23"/>
      <c r="I53" s="23"/>
      <c r="J53" s="50">
        <v>0.0</v>
      </c>
      <c r="K53" s="23"/>
      <c r="L53" s="23"/>
      <c r="M53" s="11">
        <f t="shared" si="5"/>
        <v>0</v>
      </c>
      <c r="N53" s="71"/>
      <c r="O53" s="1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6" t="s">
        <v>61</v>
      </c>
      <c r="B54" s="69" t="s">
        <v>22</v>
      </c>
      <c r="C54" s="47" t="s">
        <v>234</v>
      </c>
      <c r="D54" s="48">
        <v>0.0</v>
      </c>
      <c r="E54" s="19"/>
      <c r="F54" s="19"/>
      <c r="G54" s="48">
        <v>0.0</v>
      </c>
      <c r="H54" s="19"/>
      <c r="I54" s="19"/>
      <c r="J54" s="48">
        <v>0.0</v>
      </c>
      <c r="K54" s="19"/>
      <c r="L54" s="19"/>
      <c r="M54" s="11">
        <f t="shared" si="5"/>
        <v>0</v>
      </c>
      <c r="N54" s="70"/>
      <c r="O54" s="10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72" t="s">
        <v>216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11">
        <f>SUM(M46,M47,M48,M49,M50,M51,M52,M53,M54)</f>
        <v>0</v>
      </c>
      <c r="N55" s="73"/>
      <c r="O55" s="7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74" t="s">
        <v>217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6" t="s">
        <v>55</v>
      </c>
      <c r="B58" s="75" t="s">
        <v>23</v>
      </c>
      <c r="C58" s="47" t="s">
        <v>200</v>
      </c>
      <c r="D58" s="48">
        <v>1.0</v>
      </c>
      <c r="E58" s="19"/>
      <c r="F58" s="19"/>
      <c r="G58" s="48">
        <v>1.0</v>
      </c>
      <c r="H58" s="19"/>
      <c r="I58" s="19"/>
      <c r="J58" s="48">
        <v>1.0</v>
      </c>
      <c r="K58" s="19"/>
      <c r="L58" s="19"/>
      <c r="M58" s="11">
        <f t="shared" ref="M58:M66" si="6">IFERROR(IFERROR(E58*F58,0)+IFERROR(H58*I58,0)+IFERROR(K58*L58,0),0)</f>
        <v>0</v>
      </c>
      <c r="N58" s="70"/>
      <c r="O58" s="10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9" t="s">
        <v>56</v>
      </c>
      <c r="B59" s="75" t="s">
        <v>23</v>
      </c>
      <c r="C59" s="47" t="s">
        <v>200</v>
      </c>
      <c r="D59" s="50">
        <v>1.0</v>
      </c>
      <c r="E59" s="23"/>
      <c r="F59" s="23"/>
      <c r="G59" s="50">
        <v>1.0</v>
      </c>
      <c r="H59" s="23"/>
      <c r="I59" s="23"/>
      <c r="J59" s="50">
        <v>1.0</v>
      </c>
      <c r="K59" s="23"/>
      <c r="L59" s="23"/>
      <c r="M59" s="11">
        <f t="shared" si="6"/>
        <v>0</v>
      </c>
      <c r="N59" s="71"/>
      <c r="O59" s="1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6" t="s">
        <v>235</v>
      </c>
      <c r="B60" s="75" t="s">
        <v>23</v>
      </c>
      <c r="C60" s="47" t="s">
        <v>236</v>
      </c>
      <c r="D60" s="48">
        <v>0.0</v>
      </c>
      <c r="E60" s="19"/>
      <c r="F60" s="19"/>
      <c r="G60" s="48">
        <v>0.0</v>
      </c>
      <c r="H60" s="19"/>
      <c r="I60" s="19"/>
      <c r="J60" s="48">
        <v>0.0</v>
      </c>
      <c r="K60" s="19"/>
      <c r="L60" s="19"/>
      <c r="M60" s="11">
        <f t="shared" si="6"/>
        <v>0</v>
      </c>
      <c r="N60" s="70"/>
      <c r="O60" s="1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9" t="s">
        <v>57</v>
      </c>
      <c r="B61" s="75" t="s">
        <v>23</v>
      </c>
      <c r="C61" s="47" t="s">
        <v>231</v>
      </c>
      <c r="D61" s="50">
        <v>1.0</v>
      </c>
      <c r="E61" s="23"/>
      <c r="F61" s="23"/>
      <c r="G61" s="50">
        <v>1.0</v>
      </c>
      <c r="H61" s="23"/>
      <c r="I61" s="23"/>
      <c r="J61" s="50">
        <v>0.0</v>
      </c>
      <c r="K61" s="23"/>
      <c r="L61" s="23"/>
      <c r="M61" s="11">
        <f t="shared" si="6"/>
        <v>0</v>
      </c>
      <c r="N61" s="71"/>
      <c r="O61" s="1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6" t="s">
        <v>237</v>
      </c>
      <c r="B62" s="75" t="s">
        <v>23</v>
      </c>
      <c r="C62" s="47" t="s">
        <v>202</v>
      </c>
      <c r="D62" s="48">
        <v>1.0</v>
      </c>
      <c r="E62" s="19"/>
      <c r="F62" s="19"/>
      <c r="G62" s="48">
        <v>1.0</v>
      </c>
      <c r="H62" s="19"/>
      <c r="I62" s="19"/>
      <c r="J62" s="48">
        <v>1.0</v>
      </c>
      <c r="K62" s="19"/>
      <c r="L62" s="19"/>
      <c r="M62" s="11">
        <f t="shared" si="6"/>
        <v>0</v>
      </c>
      <c r="N62" s="70"/>
      <c r="O62" s="10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9" t="s">
        <v>238</v>
      </c>
      <c r="B63" s="75" t="s">
        <v>23</v>
      </c>
      <c r="C63" s="47" t="s">
        <v>239</v>
      </c>
      <c r="D63" s="50">
        <v>0.0</v>
      </c>
      <c r="E63" s="23"/>
      <c r="F63" s="23"/>
      <c r="G63" s="50">
        <v>0.0</v>
      </c>
      <c r="H63" s="23"/>
      <c r="I63" s="23"/>
      <c r="J63" s="50">
        <v>0.0</v>
      </c>
      <c r="K63" s="23"/>
      <c r="L63" s="23"/>
      <c r="M63" s="11">
        <f t="shared" si="6"/>
        <v>0</v>
      </c>
      <c r="N63" s="71"/>
      <c r="O63" s="1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6" t="s">
        <v>59</v>
      </c>
      <c r="B64" s="75" t="s">
        <v>23</v>
      </c>
      <c r="C64" s="47" t="s">
        <v>233</v>
      </c>
      <c r="D64" s="48">
        <v>1.0</v>
      </c>
      <c r="E64" s="19"/>
      <c r="F64" s="19"/>
      <c r="G64" s="48">
        <v>0.0</v>
      </c>
      <c r="H64" s="19"/>
      <c r="I64" s="19"/>
      <c r="J64" s="48">
        <v>0.0</v>
      </c>
      <c r="K64" s="19"/>
      <c r="L64" s="19"/>
      <c r="M64" s="11">
        <f t="shared" si="6"/>
        <v>0</v>
      </c>
      <c r="N64" s="70"/>
      <c r="O64" s="1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9" t="s">
        <v>60</v>
      </c>
      <c r="B65" s="75" t="s">
        <v>23</v>
      </c>
      <c r="C65" s="47" t="s">
        <v>214</v>
      </c>
      <c r="D65" s="50">
        <v>0.0</v>
      </c>
      <c r="E65" s="23"/>
      <c r="F65" s="23"/>
      <c r="G65" s="50">
        <v>0.0</v>
      </c>
      <c r="H65" s="23"/>
      <c r="I65" s="23"/>
      <c r="J65" s="50">
        <v>0.0</v>
      </c>
      <c r="K65" s="23"/>
      <c r="L65" s="23"/>
      <c r="M65" s="11">
        <f t="shared" si="6"/>
        <v>0</v>
      </c>
      <c r="N65" s="71"/>
      <c r="O65" s="1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6" t="s">
        <v>61</v>
      </c>
      <c r="B66" s="75" t="s">
        <v>23</v>
      </c>
      <c r="C66" s="47" t="s">
        <v>234</v>
      </c>
      <c r="D66" s="48">
        <v>0.0</v>
      </c>
      <c r="E66" s="19"/>
      <c r="F66" s="19"/>
      <c r="G66" s="48">
        <v>0.0</v>
      </c>
      <c r="H66" s="19"/>
      <c r="I66" s="19"/>
      <c r="J66" s="48">
        <v>0.0</v>
      </c>
      <c r="K66" s="19"/>
      <c r="L66" s="19"/>
      <c r="M66" s="11">
        <f t="shared" si="6"/>
        <v>0</v>
      </c>
      <c r="N66" s="70"/>
      <c r="O66" s="1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76" t="s">
        <v>218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11">
        <f>SUM(M58,M59,M60,M61,M62,M63,M64,M65,M66)</f>
        <v>0</v>
      </c>
      <c r="N67" s="91"/>
      <c r="O67" s="7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78" t="s">
        <v>219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6" t="s">
        <v>55</v>
      </c>
      <c r="B70" s="79" t="s">
        <v>24</v>
      </c>
      <c r="C70" s="47" t="s">
        <v>200</v>
      </c>
      <c r="D70" s="48">
        <v>1.0</v>
      </c>
      <c r="E70" s="19"/>
      <c r="F70" s="19"/>
      <c r="G70" s="48">
        <v>1.0</v>
      </c>
      <c r="H70" s="19"/>
      <c r="I70" s="19"/>
      <c r="J70" s="48">
        <v>1.0</v>
      </c>
      <c r="K70" s="19"/>
      <c r="L70" s="19"/>
      <c r="M70" s="11">
        <f t="shared" ref="M70:M78" si="7">IFERROR(IFERROR(E70*F70,0)+IFERROR(H70*I70,0)+IFERROR(K70*L70,0),0)</f>
        <v>0</v>
      </c>
      <c r="N70" s="70"/>
      <c r="O70" s="1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9" t="s">
        <v>56</v>
      </c>
      <c r="B71" s="79" t="s">
        <v>24</v>
      </c>
      <c r="C71" s="47" t="s">
        <v>200</v>
      </c>
      <c r="D71" s="50">
        <v>1.0</v>
      </c>
      <c r="E71" s="23"/>
      <c r="F71" s="23"/>
      <c r="G71" s="50">
        <v>1.0</v>
      </c>
      <c r="H71" s="23"/>
      <c r="I71" s="23"/>
      <c r="J71" s="50">
        <v>1.0</v>
      </c>
      <c r="K71" s="23"/>
      <c r="L71" s="23"/>
      <c r="M71" s="11">
        <f t="shared" si="7"/>
        <v>0</v>
      </c>
      <c r="N71" s="71"/>
      <c r="O71" s="1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6" t="s">
        <v>235</v>
      </c>
      <c r="B72" s="79" t="s">
        <v>24</v>
      </c>
      <c r="C72" s="47" t="s">
        <v>236</v>
      </c>
      <c r="D72" s="48">
        <v>0.0</v>
      </c>
      <c r="E72" s="19"/>
      <c r="F72" s="19"/>
      <c r="G72" s="48">
        <v>0.0</v>
      </c>
      <c r="H72" s="19"/>
      <c r="I72" s="19"/>
      <c r="J72" s="48">
        <v>0.0</v>
      </c>
      <c r="K72" s="19"/>
      <c r="L72" s="19"/>
      <c r="M72" s="11">
        <f t="shared" si="7"/>
        <v>0</v>
      </c>
      <c r="N72" s="70"/>
      <c r="O72" s="1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9" t="s">
        <v>57</v>
      </c>
      <c r="B73" s="79" t="s">
        <v>24</v>
      </c>
      <c r="C73" s="47" t="s">
        <v>231</v>
      </c>
      <c r="D73" s="50">
        <v>1.0</v>
      </c>
      <c r="E73" s="23"/>
      <c r="F73" s="23"/>
      <c r="G73" s="50">
        <v>1.0</v>
      </c>
      <c r="H73" s="23"/>
      <c r="I73" s="23"/>
      <c r="J73" s="50">
        <v>0.0</v>
      </c>
      <c r="K73" s="23"/>
      <c r="L73" s="23"/>
      <c r="M73" s="11">
        <f t="shared" si="7"/>
        <v>0</v>
      </c>
      <c r="N73" s="71"/>
      <c r="O73" s="1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6" t="s">
        <v>237</v>
      </c>
      <c r="B74" s="79" t="s">
        <v>24</v>
      </c>
      <c r="C74" s="47" t="s">
        <v>202</v>
      </c>
      <c r="D74" s="48">
        <v>1.0</v>
      </c>
      <c r="E74" s="19"/>
      <c r="F74" s="19"/>
      <c r="G74" s="48">
        <v>1.0</v>
      </c>
      <c r="H74" s="19"/>
      <c r="I74" s="19"/>
      <c r="J74" s="48">
        <v>1.0</v>
      </c>
      <c r="K74" s="19"/>
      <c r="L74" s="19"/>
      <c r="M74" s="11">
        <f t="shared" si="7"/>
        <v>0</v>
      </c>
      <c r="N74" s="70"/>
      <c r="O74" s="1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9" t="s">
        <v>238</v>
      </c>
      <c r="B75" s="79" t="s">
        <v>24</v>
      </c>
      <c r="C75" s="47" t="s">
        <v>239</v>
      </c>
      <c r="D75" s="50">
        <v>0.0</v>
      </c>
      <c r="E75" s="23"/>
      <c r="F75" s="23"/>
      <c r="G75" s="50">
        <v>0.0</v>
      </c>
      <c r="H75" s="23"/>
      <c r="I75" s="23"/>
      <c r="J75" s="50">
        <v>0.0</v>
      </c>
      <c r="K75" s="23"/>
      <c r="L75" s="23"/>
      <c r="M75" s="11">
        <f t="shared" si="7"/>
        <v>0</v>
      </c>
      <c r="N75" s="71"/>
      <c r="O75" s="1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6" t="s">
        <v>59</v>
      </c>
      <c r="B76" s="79" t="s">
        <v>24</v>
      </c>
      <c r="C76" s="47" t="s">
        <v>233</v>
      </c>
      <c r="D76" s="48">
        <v>1.0</v>
      </c>
      <c r="E76" s="19"/>
      <c r="F76" s="19"/>
      <c r="G76" s="48">
        <v>0.0</v>
      </c>
      <c r="H76" s="19"/>
      <c r="I76" s="19"/>
      <c r="J76" s="48">
        <v>0.0</v>
      </c>
      <c r="K76" s="19"/>
      <c r="L76" s="19"/>
      <c r="M76" s="11">
        <f t="shared" si="7"/>
        <v>0</v>
      </c>
      <c r="N76" s="70"/>
      <c r="O76" s="1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9" t="s">
        <v>60</v>
      </c>
      <c r="B77" s="79" t="s">
        <v>24</v>
      </c>
      <c r="C77" s="47" t="s">
        <v>214</v>
      </c>
      <c r="D77" s="50">
        <v>0.0</v>
      </c>
      <c r="E77" s="23"/>
      <c r="F77" s="23"/>
      <c r="G77" s="50">
        <v>0.0</v>
      </c>
      <c r="H77" s="23"/>
      <c r="I77" s="23"/>
      <c r="J77" s="50">
        <v>0.0</v>
      </c>
      <c r="K77" s="23"/>
      <c r="L77" s="23"/>
      <c r="M77" s="11">
        <f t="shared" si="7"/>
        <v>0</v>
      </c>
      <c r="N77" s="71"/>
      <c r="O77" s="1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6" t="s">
        <v>61</v>
      </c>
      <c r="B78" s="79" t="s">
        <v>24</v>
      </c>
      <c r="C78" s="47" t="s">
        <v>234</v>
      </c>
      <c r="D78" s="48">
        <v>0.0</v>
      </c>
      <c r="E78" s="19"/>
      <c r="F78" s="19"/>
      <c r="G78" s="48">
        <v>0.0</v>
      </c>
      <c r="H78" s="19"/>
      <c r="I78" s="19"/>
      <c r="J78" s="48">
        <v>0.0</v>
      </c>
      <c r="K78" s="19"/>
      <c r="L78" s="19"/>
      <c r="M78" s="11">
        <f t="shared" si="7"/>
        <v>0</v>
      </c>
      <c r="N78" s="70"/>
      <c r="O78" s="1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80" t="s">
        <v>220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11">
        <f>SUM(M70,M71,M72,M73,M74,M75,M76,M77,M78)</f>
        <v>0</v>
      </c>
      <c r="N79" s="81"/>
      <c r="O79" s="82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83" t="s">
        <v>221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6" t="s">
        <v>55</v>
      </c>
      <c r="B82" s="84" t="s">
        <v>25</v>
      </c>
      <c r="C82" s="47" t="s">
        <v>200</v>
      </c>
      <c r="D82" s="48">
        <v>1.0</v>
      </c>
      <c r="E82" s="19"/>
      <c r="F82" s="19"/>
      <c r="G82" s="48">
        <v>1.0</v>
      </c>
      <c r="H82" s="19"/>
      <c r="I82" s="19"/>
      <c r="J82" s="48">
        <v>1.0</v>
      </c>
      <c r="K82" s="19"/>
      <c r="L82" s="19"/>
      <c r="M82" s="11">
        <f t="shared" ref="M82:M90" si="8">IFERROR(IFERROR(E82*F82,0)+IFERROR(H82*I82,0)+IFERROR(K82*L82,0),0)</f>
        <v>0</v>
      </c>
      <c r="N82" s="70"/>
      <c r="O82" s="10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9" t="s">
        <v>56</v>
      </c>
      <c r="B83" s="84" t="s">
        <v>25</v>
      </c>
      <c r="C83" s="47" t="s">
        <v>200</v>
      </c>
      <c r="D83" s="50">
        <v>1.0</v>
      </c>
      <c r="E83" s="23"/>
      <c r="F83" s="23"/>
      <c r="G83" s="50">
        <v>1.0</v>
      </c>
      <c r="H83" s="23"/>
      <c r="I83" s="23"/>
      <c r="J83" s="50">
        <v>1.0</v>
      </c>
      <c r="K83" s="23"/>
      <c r="L83" s="23"/>
      <c r="M83" s="11">
        <f t="shared" si="8"/>
        <v>0</v>
      </c>
      <c r="N83" s="71"/>
      <c r="O83" s="1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6" t="s">
        <v>235</v>
      </c>
      <c r="B84" s="84" t="s">
        <v>25</v>
      </c>
      <c r="C84" s="47" t="s">
        <v>236</v>
      </c>
      <c r="D84" s="48">
        <v>0.0</v>
      </c>
      <c r="E84" s="19"/>
      <c r="F84" s="19"/>
      <c r="G84" s="48">
        <v>0.0</v>
      </c>
      <c r="H84" s="19"/>
      <c r="I84" s="19"/>
      <c r="J84" s="48">
        <v>0.0</v>
      </c>
      <c r="K84" s="19"/>
      <c r="L84" s="19"/>
      <c r="M84" s="11">
        <f t="shared" si="8"/>
        <v>0</v>
      </c>
      <c r="N84" s="70"/>
      <c r="O84" s="10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9" t="s">
        <v>57</v>
      </c>
      <c r="B85" s="84" t="s">
        <v>25</v>
      </c>
      <c r="C85" s="47" t="s">
        <v>231</v>
      </c>
      <c r="D85" s="50">
        <v>1.0</v>
      </c>
      <c r="E85" s="23"/>
      <c r="F85" s="23"/>
      <c r="G85" s="50">
        <v>1.0</v>
      </c>
      <c r="H85" s="23"/>
      <c r="I85" s="23"/>
      <c r="J85" s="50">
        <v>0.0</v>
      </c>
      <c r="K85" s="23"/>
      <c r="L85" s="23"/>
      <c r="M85" s="11">
        <f t="shared" si="8"/>
        <v>0</v>
      </c>
      <c r="N85" s="71"/>
      <c r="O85" s="1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6" t="s">
        <v>237</v>
      </c>
      <c r="B86" s="84" t="s">
        <v>25</v>
      </c>
      <c r="C86" s="47" t="s">
        <v>202</v>
      </c>
      <c r="D86" s="48">
        <v>1.0</v>
      </c>
      <c r="E86" s="19"/>
      <c r="F86" s="19"/>
      <c r="G86" s="48">
        <v>1.0</v>
      </c>
      <c r="H86" s="19"/>
      <c r="I86" s="19"/>
      <c r="J86" s="48">
        <v>1.0</v>
      </c>
      <c r="K86" s="19"/>
      <c r="L86" s="19"/>
      <c r="M86" s="11">
        <f t="shared" si="8"/>
        <v>0</v>
      </c>
      <c r="N86" s="70"/>
      <c r="O86" s="10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9" t="s">
        <v>238</v>
      </c>
      <c r="B87" s="84" t="s">
        <v>25</v>
      </c>
      <c r="C87" s="47" t="s">
        <v>239</v>
      </c>
      <c r="D87" s="50">
        <v>0.0</v>
      </c>
      <c r="E87" s="23"/>
      <c r="F87" s="23"/>
      <c r="G87" s="50">
        <v>0.0</v>
      </c>
      <c r="H87" s="23"/>
      <c r="I87" s="23"/>
      <c r="J87" s="50">
        <v>0.0</v>
      </c>
      <c r="K87" s="23"/>
      <c r="L87" s="23"/>
      <c r="M87" s="11">
        <f t="shared" si="8"/>
        <v>0</v>
      </c>
      <c r="N87" s="71"/>
      <c r="O87" s="1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6" t="s">
        <v>59</v>
      </c>
      <c r="B88" s="84" t="s">
        <v>25</v>
      </c>
      <c r="C88" s="47" t="s">
        <v>233</v>
      </c>
      <c r="D88" s="48">
        <v>1.0</v>
      </c>
      <c r="E88" s="19"/>
      <c r="F88" s="19"/>
      <c r="G88" s="48">
        <v>0.0</v>
      </c>
      <c r="H88" s="19"/>
      <c r="I88" s="19"/>
      <c r="J88" s="48">
        <v>0.0</v>
      </c>
      <c r="K88" s="19"/>
      <c r="L88" s="19"/>
      <c r="M88" s="11">
        <f t="shared" si="8"/>
        <v>0</v>
      </c>
      <c r="N88" s="70"/>
      <c r="O88" s="10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9" t="s">
        <v>60</v>
      </c>
      <c r="B89" s="84" t="s">
        <v>25</v>
      </c>
      <c r="C89" s="47" t="s">
        <v>214</v>
      </c>
      <c r="D89" s="50">
        <v>0.0</v>
      </c>
      <c r="E89" s="23"/>
      <c r="F89" s="23"/>
      <c r="G89" s="50">
        <v>0.0</v>
      </c>
      <c r="H89" s="23"/>
      <c r="I89" s="23"/>
      <c r="J89" s="50">
        <v>0.0</v>
      </c>
      <c r="K89" s="23"/>
      <c r="L89" s="23"/>
      <c r="M89" s="11">
        <f t="shared" si="8"/>
        <v>0</v>
      </c>
      <c r="N89" s="71"/>
      <c r="O89" s="1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6" t="s">
        <v>61</v>
      </c>
      <c r="B90" s="84" t="s">
        <v>25</v>
      </c>
      <c r="C90" s="47" t="s">
        <v>234</v>
      </c>
      <c r="D90" s="48">
        <v>0.0</v>
      </c>
      <c r="E90" s="19"/>
      <c r="F90" s="19"/>
      <c r="G90" s="48">
        <v>0.0</v>
      </c>
      <c r="H90" s="19"/>
      <c r="I90" s="19"/>
      <c r="J90" s="48">
        <v>0.0</v>
      </c>
      <c r="K90" s="19"/>
      <c r="L90" s="19"/>
      <c r="M90" s="11">
        <f t="shared" si="8"/>
        <v>0</v>
      </c>
      <c r="N90" s="70"/>
      <c r="O90" s="10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85" t="s">
        <v>222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11">
        <f>SUM(M82,M83,M84,M85,M86,M87,M88,M89,M90)</f>
        <v>0</v>
      </c>
      <c r="N91" s="86"/>
      <c r="O91" s="8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6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25" t="s">
        <v>223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0.0" customHeight="1">
      <c r="A94" s="5" t="s">
        <v>224</v>
      </c>
      <c r="B94" s="2"/>
      <c r="C94" s="2"/>
      <c r="D94" s="2"/>
      <c r="E94" s="3"/>
      <c r="F94" s="5" t="s">
        <v>225</v>
      </c>
      <c r="G94" s="3"/>
      <c r="H94" s="5" t="s">
        <v>226</v>
      </c>
      <c r="I94" s="2"/>
      <c r="J94" s="3"/>
      <c r="K94" s="5" t="s">
        <v>227</v>
      </c>
      <c r="L94" s="2"/>
      <c r="M94" s="2"/>
      <c r="N94" s="2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87"/>
      <c r="B95" s="2"/>
      <c r="C95" s="2"/>
      <c r="D95" s="2"/>
      <c r="E95" s="3"/>
      <c r="F95" s="87"/>
      <c r="G95" s="3"/>
      <c r="H95" s="87"/>
      <c r="I95" s="2"/>
      <c r="J95" s="3"/>
      <c r="K95" s="87"/>
      <c r="L95" s="2"/>
      <c r="M95" s="2"/>
      <c r="N95" s="2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88"/>
      <c r="B96" s="2"/>
      <c r="C96" s="2"/>
      <c r="D96" s="2"/>
      <c r="E96" s="3"/>
      <c r="F96" s="88"/>
      <c r="G96" s="3"/>
      <c r="H96" s="88"/>
      <c r="I96" s="2"/>
      <c r="J96" s="3"/>
      <c r="K96" s="88"/>
      <c r="L96" s="2"/>
      <c r="M96" s="2"/>
      <c r="N96" s="2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87"/>
      <c r="B97" s="2"/>
      <c r="C97" s="2"/>
      <c r="D97" s="2"/>
      <c r="E97" s="3"/>
      <c r="F97" s="87"/>
      <c r="G97" s="3"/>
      <c r="H97" s="87"/>
      <c r="I97" s="2"/>
      <c r="J97" s="3"/>
      <c r="K97" s="87"/>
      <c r="L97" s="2"/>
      <c r="M97" s="2"/>
      <c r="N97" s="2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88"/>
      <c r="B98" s="2"/>
      <c r="C98" s="2"/>
      <c r="D98" s="2"/>
      <c r="E98" s="3"/>
      <c r="F98" s="88"/>
      <c r="G98" s="3"/>
      <c r="H98" s="88"/>
      <c r="I98" s="2"/>
      <c r="J98" s="3"/>
      <c r="K98" s="88"/>
      <c r="L98" s="2"/>
      <c r="M98" s="2"/>
      <c r="N98" s="2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O1"/>
    <mergeCell ref="A2:O2"/>
    <mergeCell ref="B3:E3"/>
    <mergeCell ref="F3:I3"/>
    <mergeCell ref="J3:O3"/>
    <mergeCell ref="A5:O5"/>
    <mergeCell ref="A13:L13"/>
    <mergeCell ref="A15:O15"/>
    <mergeCell ref="A23:L23"/>
    <mergeCell ref="A25:O25"/>
    <mergeCell ref="A33:L33"/>
    <mergeCell ref="A35:O35"/>
    <mergeCell ref="A43:L43"/>
    <mergeCell ref="A45:O45"/>
    <mergeCell ref="A55:L55"/>
    <mergeCell ref="A57:O57"/>
    <mergeCell ref="A67:L67"/>
    <mergeCell ref="A69:O69"/>
    <mergeCell ref="A79:L79"/>
    <mergeCell ref="A81:O81"/>
    <mergeCell ref="A91:L91"/>
    <mergeCell ref="H95:J95"/>
    <mergeCell ref="K95:O95"/>
    <mergeCell ref="A93:O93"/>
    <mergeCell ref="A94:E94"/>
    <mergeCell ref="F94:G94"/>
    <mergeCell ref="H94:J94"/>
    <mergeCell ref="K94:O94"/>
    <mergeCell ref="A95:E95"/>
    <mergeCell ref="F95:G95"/>
    <mergeCell ref="A97:E97"/>
    <mergeCell ref="A98:E98"/>
    <mergeCell ref="F98:G98"/>
    <mergeCell ref="H98:J98"/>
    <mergeCell ref="K98:O98"/>
    <mergeCell ref="A96:E96"/>
    <mergeCell ref="F96:G96"/>
    <mergeCell ref="H96:J96"/>
    <mergeCell ref="K96:O96"/>
    <mergeCell ref="F97:G97"/>
    <mergeCell ref="H97:J97"/>
    <mergeCell ref="K97:O9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.0"/>
    <col customWidth="1" min="3" max="3" width="13.0"/>
    <col customWidth="1" min="4" max="4" width="7.0"/>
    <col customWidth="1" min="5" max="6" width="9.0"/>
    <col customWidth="1" min="7" max="7" width="7.0"/>
    <col customWidth="1" min="8" max="9" width="9.0"/>
    <col customWidth="1" min="10" max="10" width="7.0"/>
    <col customWidth="1" min="11" max="12" width="9.0"/>
    <col customWidth="1" min="13" max="13" width="15.0"/>
    <col customWidth="1" min="14" max="14" width="26.0"/>
    <col customWidth="1" min="15" max="15" width="10.57"/>
  </cols>
  <sheetData>
    <row r="1" ht="33.75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2" t="s">
        <v>241</v>
      </c>
      <c r="B3" s="43" t="s">
        <v>242</v>
      </c>
      <c r="C3" s="2"/>
      <c r="D3" s="2"/>
      <c r="E3" s="3"/>
      <c r="F3" s="43" t="s">
        <v>243</v>
      </c>
      <c r="G3" s="2"/>
      <c r="H3" s="2"/>
      <c r="I3" s="3"/>
      <c r="J3" s="29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5" t="s">
        <v>28</v>
      </c>
      <c r="B4" s="15" t="s">
        <v>185</v>
      </c>
      <c r="C4" s="15" t="s">
        <v>186</v>
      </c>
      <c r="D4" s="15" t="s">
        <v>187</v>
      </c>
      <c r="E4" s="44" t="s">
        <v>188</v>
      </c>
      <c r="F4" s="44" t="s">
        <v>244</v>
      </c>
      <c r="G4" s="15" t="s">
        <v>190</v>
      </c>
      <c r="H4" s="44" t="s">
        <v>191</v>
      </c>
      <c r="I4" s="44" t="s">
        <v>192</v>
      </c>
      <c r="J4" s="15" t="s">
        <v>193</v>
      </c>
      <c r="K4" s="44" t="s">
        <v>194</v>
      </c>
      <c r="L4" s="44" t="s">
        <v>245</v>
      </c>
      <c r="M4" s="15" t="s">
        <v>196</v>
      </c>
      <c r="N4" s="44" t="s">
        <v>197</v>
      </c>
      <c r="O4" s="15" t="s">
        <v>198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5" t="s">
        <v>199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46" t="s">
        <v>63</v>
      </c>
      <c r="B6" s="15" t="s">
        <v>18</v>
      </c>
      <c r="C6" s="47" t="s">
        <v>246</v>
      </c>
      <c r="D6" s="48">
        <v>1.0</v>
      </c>
      <c r="E6" s="38">
        <v>0.0</v>
      </c>
      <c r="F6" s="38">
        <v>0.0</v>
      </c>
      <c r="G6" s="48">
        <v>1.0</v>
      </c>
      <c r="H6" s="38">
        <v>0.0</v>
      </c>
      <c r="I6" s="38">
        <v>0.0</v>
      </c>
      <c r="J6" s="48">
        <v>1.0</v>
      </c>
      <c r="K6" s="38">
        <v>0.0</v>
      </c>
      <c r="L6" s="38">
        <v>0.0</v>
      </c>
      <c r="M6" s="11">
        <f t="shared" ref="M6:M15" si="1">IFERROR(IFERROR(E6*F6,0)+IFERROR(H6*I6,0)+IFERROR(K6*L6,0),0)</f>
        <v>0</v>
      </c>
      <c r="N6" s="10"/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9" t="s">
        <v>64</v>
      </c>
      <c r="B7" s="15" t="s">
        <v>18</v>
      </c>
      <c r="C7" s="47" t="s">
        <v>247</v>
      </c>
      <c r="D7" s="50">
        <v>1.0</v>
      </c>
      <c r="E7" s="38">
        <v>0.0</v>
      </c>
      <c r="F7" s="38">
        <v>0.0</v>
      </c>
      <c r="G7" s="50">
        <v>1.0</v>
      </c>
      <c r="H7" s="38">
        <v>0.0</v>
      </c>
      <c r="I7" s="38">
        <v>0.0</v>
      </c>
      <c r="J7" s="50">
        <v>0.0</v>
      </c>
      <c r="K7" s="38">
        <v>0.0</v>
      </c>
      <c r="L7" s="38">
        <v>0.0</v>
      </c>
      <c r="M7" s="11">
        <f t="shared" si="1"/>
        <v>0</v>
      </c>
      <c r="N7" s="51"/>
      <c r="O7" s="3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6" t="s">
        <v>65</v>
      </c>
      <c r="B8" s="15" t="s">
        <v>18</v>
      </c>
      <c r="C8" s="47" t="s">
        <v>200</v>
      </c>
      <c r="D8" s="48">
        <v>1.0</v>
      </c>
      <c r="E8" s="38">
        <v>0.0</v>
      </c>
      <c r="F8" s="38">
        <v>0.0</v>
      </c>
      <c r="G8" s="48">
        <v>1.0</v>
      </c>
      <c r="H8" s="38">
        <v>0.0</v>
      </c>
      <c r="I8" s="38">
        <v>0.0</v>
      </c>
      <c r="J8" s="48">
        <v>1.0</v>
      </c>
      <c r="K8" s="38">
        <v>0.0</v>
      </c>
      <c r="L8" s="38">
        <v>0.0</v>
      </c>
      <c r="M8" s="11">
        <f t="shared" si="1"/>
        <v>0</v>
      </c>
      <c r="N8" s="10"/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9" t="s">
        <v>66</v>
      </c>
      <c r="B9" s="15" t="s">
        <v>18</v>
      </c>
      <c r="C9" s="47" t="s">
        <v>201</v>
      </c>
      <c r="D9" s="50">
        <v>1.0</v>
      </c>
      <c r="E9" s="38">
        <v>0.0</v>
      </c>
      <c r="F9" s="38">
        <v>0.0</v>
      </c>
      <c r="G9" s="50">
        <v>0.0</v>
      </c>
      <c r="H9" s="38">
        <v>0.0</v>
      </c>
      <c r="I9" s="38">
        <v>0.0</v>
      </c>
      <c r="J9" s="50">
        <v>0.0</v>
      </c>
      <c r="K9" s="38">
        <v>0.0</v>
      </c>
      <c r="L9" s="38">
        <v>0.0</v>
      </c>
      <c r="M9" s="11">
        <f t="shared" si="1"/>
        <v>0</v>
      </c>
      <c r="N9" s="51"/>
      <c r="O9" s="3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6" t="s">
        <v>50</v>
      </c>
      <c r="B10" s="15" t="s">
        <v>18</v>
      </c>
      <c r="C10" s="47" t="s">
        <v>202</v>
      </c>
      <c r="D10" s="48">
        <v>0.0</v>
      </c>
      <c r="E10" s="38">
        <v>0.0</v>
      </c>
      <c r="F10" s="38">
        <v>0.0</v>
      </c>
      <c r="G10" s="48">
        <v>0.0</v>
      </c>
      <c r="H10" s="38">
        <v>0.0</v>
      </c>
      <c r="I10" s="38">
        <v>0.0</v>
      </c>
      <c r="J10" s="48">
        <v>0.0</v>
      </c>
      <c r="K10" s="38">
        <v>0.0</v>
      </c>
      <c r="L10" s="38">
        <v>0.0</v>
      </c>
      <c r="M10" s="11">
        <f t="shared" si="1"/>
        <v>0</v>
      </c>
      <c r="N10" s="10"/>
      <c r="O10" s="3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9" t="s">
        <v>51</v>
      </c>
      <c r="B11" s="15" t="s">
        <v>18</v>
      </c>
      <c r="C11" s="47" t="s">
        <v>202</v>
      </c>
      <c r="D11" s="50">
        <v>0.0</v>
      </c>
      <c r="E11" s="38">
        <v>0.0</v>
      </c>
      <c r="F11" s="38">
        <v>0.0</v>
      </c>
      <c r="G11" s="50">
        <v>0.0</v>
      </c>
      <c r="H11" s="38">
        <v>0.0</v>
      </c>
      <c r="I11" s="38">
        <v>0.0</v>
      </c>
      <c r="J11" s="50">
        <v>0.0</v>
      </c>
      <c r="K11" s="38">
        <v>0.0</v>
      </c>
      <c r="L11" s="38">
        <v>0.0</v>
      </c>
      <c r="M11" s="11">
        <f t="shared" si="1"/>
        <v>0</v>
      </c>
      <c r="N11" s="13"/>
      <c r="O11" s="3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6" t="s">
        <v>52</v>
      </c>
      <c r="B12" s="15" t="s">
        <v>18</v>
      </c>
      <c r="C12" s="47" t="s">
        <v>202</v>
      </c>
      <c r="D12" s="48">
        <v>0.0</v>
      </c>
      <c r="E12" s="38">
        <v>0.0</v>
      </c>
      <c r="F12" s="38">
        <v>0.0</v>
      </c>
      <c r="G12" s="48">
        <v>0.0</v>
      </c>
      <c r="H12" s="38">
        <v>0.0</v>
      </c>
      <c r="I12" s="38">
        <v>0.0</v>
      </c>
      <c r="J12" s="48">
        <v>0.0</v>
      </c>
      <c r="K12" s="38">
        <v>0.0</v>
      </c>
      <c r="L12" s="38">
        <v>0.0</v>
      </c>
      <c r="M12" s="11">
        <f t="shared" si="1"/>
        <v>0</v>
      </c>
      <c r="N12" s="10"/>
      <c r="O12" s="3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9" t="s">
        <v>67</v>
      </c>
      <c r="B13" s="15" t="s">
        <v>18</v>
      </c>
      <c r="C13" s="47" t="s">
        <v>248</v>
      </c>
      <c r="D13" s="50">
        <v>0.0</v>
      </c>
      <c r="E13" s="38">
        <v>0.0</v>
      </c>
      <c r="F13" s="38">
        <v>0.0</v>
      </c>
      <c r="G13" s="50">
        <v>0.0</v>
      </c>
      <c r="H13" s="38">
        <v>0.0</v>
      </c>
      <c r="I13" s="38">
        <v>0.0</v>
      </c>
      <c r="J13" s="50">
        <v>0.0</v>
      </c>
      <c r="K13" s="38">
        <v>0.0</v>
      </c>
      <c r="L13" s="38">
        <v>0.0</v>
      </c>
      <c r="M13" s="11">
        <f t="shared" si="1"/>
        <v>0</v>
      </c>
      <c r="N13" s="51"/>
      <c r="O13" s="3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6" t="s">
        <v>68</v>
      </c>
      <c r="B14" s="15" t="s">
        <v>18</v>
      </c>
      <c r="C14" s="47" t="s">
        <v>201</v>
      </c>
      <c r="D14" s="48">
        <v>1.0</v>
      </c>
      <c r="E14" s="38">
        <v>0.0</v>
      </c>
      <c r="F14" s="38">
        <v>0.0</v>
      </c>
      <c r="G14" s="48">
        <v>0.0</v>
      </c>
      <c r="H14" s="38">
        <v>0.0</v>
      </c>
      <c r="I14" s="38">
        <v>0.0</v>
      </c>
      <c r="J14" s="48">
        <v>0.0</v>
      </c>
      <c r="K14" s="38">
        <v>0.0</v>
      </c>
      <c r="L14" s="38">
        <v>0.0</v>
      </c>
      <c r="M14" s="11">
        <f t="shared" si="1"/>
        <v>0</v>
      </c>
      <c r="N14" s="51"/>
      <c r="O14" s="3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9" t="s">
        <v>53</v>
      </c>
      <c r="B15" s="15" t="s">
        <v>18</v>
      </c>
      <c r="C15" s="47" t="s">
        <v>203</v>
      </c>
      <c r="D15" s="50">
        <v>0.0</v>
      </c>
      <c r="E15" s="38">
        <v>0.0</v>
      </c>
      <c r="F15" s="38">
        <v>0.0</v>
      </c>
      <c r="G15" s="50">
        <v>0.0</v>
      </c>
      <c r="H15" s="38">
        <v>0.0</v>
      </c>
      <c r="I15" s="38">
        <v>0.0</v>
      </c>
      <c r="J15" s="50">
        <v>0.0</v>
      </c>
      <c r="K15" s="38">
        <v>0.0</v>
      </c>
      <c r="L15" s="38">
        <v>0.0</v>
      </c>
      <c r="M15" s="11">
        <f t="shared" si="1"/>
        <v>0</v>
      </c>
      <c r="N15" s="51"/>
      <c r="O15" s="3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52" t="s">
        <v>204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11">
        <f>SUM(M6,M7,M8,M9,M10,M11,M12,M13,M14,M15)</f>
        <v>0</v>
      </c>
      <c r="N16" s="53"/>
      <c r="O16" s="5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54" t="s">
        <v>205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6" t="s">
        <v>63</v>
      </c>
      <c r="B19" s="55" t="s">
        <v>19</v>
      </c>
      <c r="C19" s="47" t="s">
        <v>246</v>
      </c>
      <c r="D19" s="48">
        <v>1.0</v>
      </c>
      <c r="E19" s="19">
        <v>10.0</v>
      </c>
      <c r="F19" s="19">
        <v>40.0</v>
      </c>
      <c r="G19" s="48">
        <v>1.0</v>
      </c>
      <c r="H19" s="19">
        <v>10.0</v>
      </c>
      <c r="I19" s="19">
        <v>40.0</v>
      </c>
      <c r="J19" s="48">
        <v>1.0</v>
      </c>
      <c r="K19" s="19">
        <v>10.0</v>
      </c>
      <c r="L19" s="19">
        <v>40.0</v>
      </c>
      <c r="M19" s="11">
        <f t="shared" ref="M19:M28" si="2">IFERROR(IFERROR(E19*F19,0)+IFERROR(H19*I19,0)+IFERROR(K19*L19,0),0)</f>
        <v>1200</v>
      </c>
      <c r="N19" s="10"/>
      <c r="O19" s="3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9" t="s">
        <v>64</v>
      </c>
      <c r="B20" s="55" t="s">
        <v>19</v>
      </c>
      <c r="C20" s="47" t="s">
        <v>247</v>
      </c>
      <c r="D20" s="50">
        <v>1.0</v>
      </c>
      <c r="E20" s="23">
        <v>8.0</v>
      </c>
      <c r="F20" s="23">
        <v>50.0</v>
      </c>
      <c r="G20" s="50">
        <v>1.0</v>
      </c>
      <c r="H20" s="23">
        <v>8.0</v>
      </c>
      <c r="I20" s="23">
        <v>50.0</v>
      </c>
      <c r="J20" s="50">
        <v>0.0</v>
      </c>
      <c r="K20" s="23">
        <v>15.0</v>
      </c>
      <c r="L20" s="23">
        <v>50.0</v>
      </c>
      <c r="M20" s="11">
        <f t="shared" si="2"/>
        <v>1550</v>
      </c>
      <c r="N20" s="51"/>
      <c r="O20" s="3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6" t="s">
        <v>65</v>
      </c>
      <c r="B21" s="55" t="s">
        <v>19</v>
      </c>
      <c r="C21" s="47" t="s">
        <v>200</v>
      </c>
      <c r="D21" s="48">
        <v>1.0</v>
      </c>
      <c r="E21" s="19">
        <v>10.0</v>
      </c>
      <c r="F21" s="19">
        <v>42.5</v>
      </c>
      <c r="G21" s="48">
        <v>1.0</v>
      </c>
      <c r="H21" s="19">
        <v>10.0</v>
      </c>
      <c r="I21" s="19">
        <v>42.5</v>
      </c>
      <c r="J21" s="48">
        <v>1.0</v>
      </c>
      <c r="K21" s="19">
        <v>10.0</v>
      </c>
      <c r="L21" s="19">
        <v>42.5</v>
      </c>
      <c r="M21" s="11">
        <f t="shared" si="2"/>
        <v>1275</v>
      </c>
      <c r="N21" s="10"/>
      <c r="O21" s="3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9" t="s">
        <v>66</v>
      </c>
      <c r="B22" s="55" t="s">
        <v>19</v>
      </c>
      <c r="C22" s="47" t="s">
        <v>201</v>
      </c>
      <c r="D22" s="50">
        <v>1.0</v>
      </c>
      <c r="E22" s="23">
        <v>12.0</v>
      </c>
      <c r="F22" s="23">
        <v>42.5</v>
      </c>
      <c r="G22" s="50">
        <v>0.0</v>
      </c>
      <c r="H22" s="23">
        <v>12.0</v>
      </c>
      <c r="I22" s="23">
        <v>42.5</v>
      </c>
      <c r="J22" s="50">
        <v>0.0</v>
      </c>
      <c r="K22" s="23">
        <v>12.0</v>
      </c>
      <c r="L22" s="23">
        <v>42.5</v>
      </c>
      <c r="M22" s="11">
        <f t="shared" si="2"/>
        <v>1530</v>
      </c>
      <c r="N22" s="51"/>
      <c r="O22" s="3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6" t="s">
        <v>50</v>
      </c>
      <c r="B23" s="55" t="s">
        <v>19</v>
      </c>
      <c r="C23" s="47" t="s">
        <v>202</v>
      </c>
      <c r="D23" s="48">
        <v>0.0</v>
      </c>
      <c r="E23" s="19">
        <v>15.0</v>
      </c>
      <c r="F23" s="19">
        <v>9.0</v>
      </c>
      <c r="G23" s="48">
        <v>0.0</v>
      </c>
      <c r="H23" s="19">
        <v>15.0</v>
      </c>
      <c r="I23" s="19">
        <v>9.0</v>
      </c>
      <c r="J23" s="48">
        <v>0.0</v>
      </c>
      <c r="K23" s="19">
        <v>15.0</v>
      </c>
      <c r="L23" s="19">
        <v>9.0</v>
      </c>
      <c r="M23" s="11">
        <f t="shared" si="2"/>
        <v>405</v>
      </c>
      <c r="N23" s="10"/>
      <c r="O23" s="3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9" t="s">
        <v>51</v>
      </c>
      <c r="B24" s="55" t="s">
        <v>19</v>
      </c>
      <c r="C24" s="47" t="s">
        <v>202</v>
      </c>
      <c r="D24" s="50">
        <v>0.0</v>
      </c>
      <c r="E24" s="23">
        <v>15.0</v>
      </c>
      <c r="F24" s="23">
        <v>11.5</v>
      </c>
      <c r="G24" s="50">
        <v>0.0</v>
      </c>
      <c r="H24" s="23">
        <v>15.0</v>
      </c>
      <c r="I24" s="23">
        <v>11.5</v>
      </c>
      <c r="J24" s="50">
        <v>0.0</v>
      </c>
      <c r="K24" s="23">
        <v>15.0</v>
      </c>
      <c r="L24" s="23">
        <v>11.5</v>
      </c>
      <c r="M24" s="11">
        <f t="shared" si="2"/>
        <v>517.5</v>
      </c>
      <c r="N24" s="13"/>
      <c r="O24" s="3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6" t="s">
        <v>52</v>
      </c>
      <c r="B25" s="55" t="s">
        <v>19</v>
      </c>
      <c r="C25" s="47" t="s">
        <v>202</v>
      </c>
      <c r="D25" s="48">
        <v>0.0</v>
      </c>
      <c r="E25" s="19">
        <v>15.0</v>
      </c>
      <c r="F25" s="19">
        <v>15.0</v>
      </c>
      <c r="G25" s="48">
        <v>0.0</v>
      </c>
      <c r="H25" s="19">
        <v>15.0</v>
      </c>
      <c r="I25" s="19">
        <v>15.0</v>
      </c>
      <c r="J25" s="48">
        <v>0.0</v>
      </c>
      <c r="K25" s="19">
        <v>15.0</v>
      </c>
      <c r="L25" s="19">
        <v>15.0</v>
      </c>
      <c r="M25" s="11">
        <f t="shared" si="2"/>
        <v>675</v>
      </c>
      <c r="N25" s="10"/>
      <c r="O25" s="3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9" t="s">
        <v>67</v>
      </c>
      <c r="B26" s="55" t="s">
        <v>19</v>
      </c>
      <c r="C26" s="47" t="s">
        <v>248</v>
      </c>
      <c r="D26" s="50">
        <v>0.0</v>
      </c>
      <c r="E26" s="23">
        <v>12.0</v>
      </c>
      <c r="F26" s="23">
        <v>20.0</v>
      </c>
      <c r="G26" s="50">
        <v>0.0</v>
      </c>
      <c r="H26" s="23">
        <v>13.0</v>
      </c>
      <c r="I26" s="23">
        <v>20.0</v>
      </c>
      <c r="J26" s="50">
        <v>0.0</v>
      </c>
      <c r="K26" s="23">
        <v>13.0</v>
      </c>
      <c r="L26" s="23">
        <v>20.0</v>
      </c>
      <c r="M26" s="11">
        <f t="shared" si="2"/>
        <v>760</v>
      </c>
      <c r="N26" s="51"/>
      <c r="O26" s="3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6" t="s">
        <v>68</v>
      </c>
      <c r="B27" s="55" t="s">
        <v>19</v>
      </c>
      <c r="C27" s="47" t="s">
        <v>201</v>
      </c>
      <c r="D27" s="48">
        <v>1.0</v>
      </c>
      <c r="E27" s="19">
        <v>12.0</v>
      </c>
      <c r="F27" s="19">
        <v>15.0</v>
      </c>
      <c r="G27" s="48">
        <v>0.0</v>
      </c>
      <c r="H27" s="19">
        <v>10.0</v>
      </c>
      <c r="I27" s="19">
        <v>15.0</v>
      </c>
      <c r="J27" s="48">
        <v>0.0</v>
      </c>
      <c r="K27" s="19">
        <v>10.0</v>
      </c>
      <c r="L27" s="19">
        <v>15.0</v>
      </c>
      <c r="M27" s="11">
        <f t="shared" si="2"/>
        <v>480</v>
      </c>
      <c r="N27" s="51"/>
      <c r="O27" s="3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9" t="s">
        <v>53</v>
      </c>
      <c r="B28" s="55" t="s">
        <v>19</v>
      </c>
      <c r="C28" s="47" t="s">
        <v>203</v>
      </c>
      <c r="D28" s="50">
        <v>0.0</v>
      </c>
      <c r="E28" s="23">
        <v>16.0</v>
      </c>
      <c r="F28" s="23">
        <v>57.5</v>
      </c>
      <c r="G28" s="50">
        <v>0.0</v>
      </c>
      <c r="H28" s="23">
        <v>14.0</v>
      </c>
      <c r="I28" s="23">
        <v>62.5</v>
      </c>
      <c r="J28" s="50">
        <v>0.0</v>
      </c>
      <c r="K28" s="23">
        <v>14.0</v>
      </c>
      <c r="L28" s="23">
        <v>57.5</v>
      </c>
      <c r="M28" s="11">
        <f t="shared" si="2"/>
        <v>2600</v>
      </c>
      <c r="N28" s="51"/>
      <c r="O28" s="3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58" t="s">
        <v>207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11">
        <f>SUM(M19,M20,M21,M22,M23,M24,M25,M26,M27,M28)</f>
        <v>10992.5</v>
      </c>
      <c r="N29" s="59"/>
      <c r="O29" s="5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0" t="s">
        <v>208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6" t="s">
        <v>63</v>
      </c>
      <c r="B32" s="61" t="s">
        <v>20</v>
      </c>
      <c r="C32" s="47" t="s">
        <v>246</v>
      </c>
      <c r="D32" s="48">
        <v>1.0</v>
      </c>
      <c r="E32" s="19">
        <v>8.0</v>
      </c>
      <c r="F32" s="19">
        <v>60.0</v>
      </c>
      <c r="G32" s="48">
        <v>1.0</v>
      </c>
      <c r="H32" s="19">
        <v>8.0</v>
      </c>
      <c r="I32" s="19">
        <v>60.0</v>
      </c>
      <c r="J32" s="48">
        <v>1.0</v>
      </c>
      <c r="K32" s="19">
        <v>7.0</v>
      </c>
      <c r="L32" s="19">
        <v>60.0</v>
      </c>
      <c r="M32" s="11">
        <f t="shared" ref="M32:M41" si="3">IFERROR(IFERROR(E32*F32,0)+IFERROR(H32*I32,0)+IFERROR(K32*L32,0),0)</f>
        <v>1380</v>
      </c>
      <c r="N32" s="10"/>
      <c r="O32" s="3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9" t="s">
        <v>64</v>
      </c>
      <c r="B33" s="61" t="s">
        <v>20</v>
      </c>
      <c r="C33" s="47" t="s">
        <v>247</v>
      </c>
      <c r="D33" s="50">
        <v>1.0</v>
      </c>
      <c r="E33" s="23">
        <v>8.0</v>
      </c>
      <c r="F33" s="23">
        <v>50.0</v>
      </c>
      <c r="G33" s="50">
        <v>1.0</v>
      </c>
      <c r="H33" s="23">
        <v>8.0</v>
      </c>
      <c r="I33" s="23">
        <v>50.0</v>
      </c>
      <c r="J33" s="50">
        <v>0.0</v>
      </c>
      <c r="K33" s="23">
        <v>8.0</v>
      </c>
      <c r="L33" s="23">
        <v>50.0</v>
      </c>
      <c r="M33" s="11">
        <f t="shared" si="3"/>
        <v>1200</v>
      </c>
      <c r="N33" s="51"/>
      <c r="O33" s="3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6" t="s">
        <v>65</v>
      </c>
      <c r="B34" s="61" t="s">
        <v>20</v>
      </c>
      <c r="C34" s="47" t="s">
        <v>200</v>
      </c>
      <c r="D34" s="48">
        <v>1.0</v>
      </c>
      <c r="E34" s="19">
        <v>12.0</v>
      </c>
      <c r="F34" s="19">
        <v>42.5</v>
      </c>
      <c r="G34" s="48">
        <v>1.0</v>
      </c>
      <c r="H34" s="19">
        <v>10.0</v>
      </c>
      <c r="I34" s="19">
        <v>50.0</v>
      </c>
      <c r="J34" s="48">
        <v>1.0</v>
      </c>
      <c r="K34" s="19">
        <v>10.0</v>
      </c>
      <c r="L34" s="19">
        <v>50.0</v>
      </c>
      <c r="M34" s="11">
        <f t="shared" si="3"/>
        <v>1510</v>
      </c>
      <c r="N34" s="10"/>
      <c r="O34" s="3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9" t="s">
        <v>66</v>
      </c>
      <c r="B35" s="61" t="s">
        <v>20</v>
      </c>
      <c r="C35" s="47" t="s">
        <v>201</v>
      </c>
      <c r="D35" s="50">
        <v>1.0</v>
      </c>
      <c r="E35" s="23">
        <v>12.0</v>
      </c>
      <c r="F35" s="23">
        <v>42.5</v>
      </c>
      <c r="G35" s="50">
        <v>0.0</v>
      </c>
      <c r="H35" s="23">
        <v>12.0</v>
      </c>
      <c r="I35" s="23">
        <v>42.5</v>
      </c>
      <c r="J35" s="50">
        <v>0.0</v>
      </c>
      <c r="K35" s="23">
        <v>12.0</v>
      </c>
      <c r="L35" s="23">
        <v>42.5</v>
      </c>
      <c r="M35" s="11">
        <f t="shared" si="3"/>
        <v>1530</v>
      </c>
      <c r="N35" s="51"/>
      <c r="O35" s="3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6" t="s">
        <v>50</v>
      </c>
      <c r="B36" s="61" t="s">
        <v>20</v>
      </c>
      <c r="C36" s="47" t="s">
        <v>202</v>
      </c>
      <c r="D36" s="48">
        <v>0.0</v>
      </c>
      <c r="E36" s="19">
        <v>15.0</v>
      </c>
      <c r="F36" s="19">
        <v>9.0</v>
      </c>
      <c r="G36" s="48">
        <v>0.0</v>
      </c>
      <c r="H36" s="19">
        <v>15.0</v>
      </c>
      <c r="I36" s="19">
        <v>9.0</v>
      </c>
      <c r="J36" s="48">
        <v>0.0</v>
      </c>
      <c r="K36" s="19">
        <v>13.0</v>
      </c>
      <c r="L36" s="19">
        <v>10.0</v>
      </c>
      <c r="M36" s="11">
        <f t="shared" si="3"/>
        <v>400</v>
      </c>
      <c r="N36" s="10"/>
      <c r="O36" s="3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9" t="s">
        <v>51</v>
      </c>
      <c r="B37" s="61" t="s">
        <v>20</v>
      </c>
      <c r="C37" s="47" t="s">
        <v>202</v>
      </c>
      <c r="D37" s="50">
        <v>0.0</v>
      </c>
      <c r="E37" s="23">
        <v>15.0</v>
      </c>
      <c r="F37" s="23">
        <v>12.5</v>
      </c>
      <c r="G37" s="50">
        <v>0.0</v>
      </c>
      <c r="H37" s="23">
        <v>15.0</v>
      </c>
      <c r="I37" s="23">
        <v>12.5</v>
      </c>
      <c r="J37" s="50">
        <v>0.0</v>
      </c>
      <c r="K37" s="23">
        <v>15.0</v>
      </c>
      <c r="L37" s="23">
        <v>12.5</v>
      </c>
      <c r="M37" s="11">
        <f t="shared" si="3"/>
        <v>562.5</v>
      </c>
      <c r="N37" s="13"/>
      <c r="O37" s="3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6" t="s">
        <v>52</v>
      </c>
      <c r="B38" s="61" t="s">
        <v>20</v>
      </c>
      <c r="C38" s="47" t="s">
        <v>202</v>
      </c>
      <c r="D38" s="48">
        <v>0.0</v>
      </c>
      <c r="E38" s="19">
        <v>15.0</v>
      </c>
      <c r="F38" s="19">
        <v>20.0</v>
      </c>
      <c r="G38" s="48">
        <v>0.0</v>
      </c>
      <c r="H38" s="19">
        <v>20.0</v>
      </c>
      <c r="I38" s="19">
        <v>15.0</v>
      </c>
      <c r="J38" s="48">
        <v>0.0</v>
      </c>
      <c r="K38" s="19">
        <v>15.0</v>
      </c>
      <c r="L38" s="19">
        <v>20.0</v>
      </c>
      <c r="M38" s="11">
        <f t="shared" si="3"/>
        <v>900</v>
      </c>
      <c r="N38" s="10"/>
      <c r="O38" s="3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9" t="s">
        <v>67</v>
      </c>
      <c r="B39" s="61" t="s">
        <v>20</v>
      </c>
      <c r="C39" s="47" t="s">
        <v>248</v>
      </c>
      <c r="D39" s="50">
        <v>0.0</v>
      </c>
      <c r="E39" s="23">
        <v>12.0</v>
      </c>
      <c r="F39" s="23">
        <v>25.0</v>
      </c>
      <c r="G39" s="50">
        <v>0.0</v>
      </c>
      <c r="H39" s="23">
        <v>12.0</v>
      </c>
      <c r="I39" s="23">
        <v>25.0</v>
      </c>
      <c r="J39" s="50">
        <v>0.0</v>
      </c>
      <c r="K39" s="23">
        <v>12.0</v>
      </c>
      <c r="L39" s="23">
        <v>25.0</v>
      </c>
      <c r="M39" s="11">
        <f t="shared" si="3"/>
        <v>900</v>
      </c>
      <c r="N39" s="51"/>
      <c r="O39" s="3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6" t="s">
        <v>68</v>
      </c>
      <c r="B40" s="61" t="s">
        <v>20</v>
      </c>
      <c r="C40" s="47" t="s">
        <v>201</v>
      </c>
      <c r="D40" s="48">
        <v>1.0</v>
      </c>
      <c r="E40" s="19">
        <v>12.0</v>
      </c>
      <c r="F40" s="19">
        <v>15.0</v>
      </c>
      <c r="G40" s="48">
        <v>0.0</v>
      </c>
      <c r="H40" s="19">
        <v>12.0</v>
      </c>
      <c r="I40" s="19">
        <v>15.0</v>
      </c>
      <c r="J40" s="48">
        <v>0.0</v>
      </c>
      <c r="K40" s="19">
        <v>12.0</v>
      </c>
      <c r="L40" s="19">
        <v>15.0</v>
      </c>
      <c r="M40" s="11">
        <f t="shared" si="3"/>
        <v>540</v>
      </c>
      <c r="N40" s="51"/>
      <c r="O40" s="3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9" t="s">
        <v>53</v>
      </c>
      <c r="B41" s="61" t="s">
        <v>20</v>
      </c>
      <c r="C41" s="47" t="s">
        <v>203</v>
      </c>
      <c r="D41" s="50">
        <v>0.0</v>
      </c>
      <c r="E41" s="23">
        <v>16.0</v>
      </c>
      <c r="F41" s="23">
        <v>57.5</v>
      </c>
      <c r="G41" s="50">
        <v>0.0</v>
      </c>
      <c r="H41" s="23">
        <v>16.0</v>
      </c>
      <c r="I41" s="23">
        <v>57.5</v>
      </c>
      <c r="J41" s="50">
        <v>0.0</v>
      </c>
      <c r="K41" s="23">
        <v>16.0</v>
      </c>
      <c r="L41" s="23">
        <v>57.5</v>
      </c>
      <c r="M41" s="11">
        <f t="shared" si="3"/>
        <v>2760</v>
      </c>
      <c r="N41" s="51"/>
      <c r="O41" s="3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2" t="s">
        <v>209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11">
        <f>SUM(M32,M33,M34,M35,M36,M37,M38,M39,M40,M41)</f>
        <v>11682.5</v>
      </c>
      <c r="N42" s="63"/>
      <c r="O42" s="6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4" t="s">
        <v>210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6" t="s">
        <v>63</v>
      </c>
      <c r="B45" s="65" t="s">
        <v>21</v>
      </c>
      <c r="C45" s="47" t="s">
        <v>246</v>
      </c>
      <c r="D45" s="48">
        <v>1.0</v>
      </c>
      <c r="E45" s="38">
        <v>10.0</v>
      </c>
      <c r="F45" s="38">
        <v>60.0</v>
      </c>
      <c r="G45" s="48">
        <v>1.0</v>
      </c>
      <c r="H45" s="38">
        <v>8.0</v>
      </c>
      <c r="I45" s="38">
        <v>62.5</v>
      </c>
      <c r="J45" s="48">
        <v>1.0</v>
      </c>
      <c r="K45" s="38">
        <v>8.0</v>
      </c>
      <c r="L45" s="38">
        <v>62.5</v>
      </c>
      <c r="M45" s="11">
        <f t="shared" ref="M45:M54" si="4">IFERROR(IFERROR(E45*F45,0)+IFERROR(H45*I45,0)+IFERROR(K45*L45,0),0)</f>
        <v>1600</v>
      </c>
      <c r="N45" s="10"/>
      <c r="O45" s="32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9" t="s">
        <v>64</v>
      </c>
      <c r="B46" s="65" t="s">
        <v>21</v>
      </c>
      <c r="C46" s="47" t="s">
        <v>247</v>
      </c>
      <c r="D46" s="50">
        <v>1.0</v>
      </c>
      <c r="E46" s="39">
        <v>8.0</v>
      </c>
      <c r="F46" s="39">
        <v>60.0</v>
      </c>
      <c r="G46" s="50">
        <v>1.0</v>
      </c>
      <c r="H46" s="39">
        <v>8.0</v>
      </c>
      <c r="I46" s="39">
        <v>60.0</v>
      </c>
      <c r="J46" s="50">
        <v>0.0</v>
      </c>
      <c r="K46" s="39">
        <v>8.0</v>
      </c>
      <c r="L46" s="39">
        <v>60.0</v>
      </c>
      <c r="M46" s="11">
        <f t="shared" si="4"/>
        <v>1440</v>
      </c>
      <c r="N46" s="51"/>
      <c r="O46" s="3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6" t="s">
        <v>65</v>
      </c>
      <c r="B47" s="65" t="s">
        <v>21</v>
      </c>
      <c r="C47" s="47" t="s">
        <v>200</v>
      </c>
      <c r="D47" s="48">
        <v>1.0</v>
      </c>
      <c r="E47" s="38">
        <v>12.0</v>
      </c>
      <c r="F47" s="38">
        <v>50.0</v>
      </c>
      <c r="G47" s="48">
        <v>1.0</v>
      </c>
      <c r="H47" s="38">
        <v>10.0</v>
      </c>
      <c r="I47" s="38">
        <v>50.0</v>
      </c>
      <c r="J47" s="48">
        <v>1.0</v>
      </c>
      <c r="K47" s="38">
        <v>10.0</v>
      </c>
      <c r="L47" s="38">
        <v>50.0</v>
      </c>
      <c r="M47" s="11">
        <f t="shared" si="4"/>
        <v>1600</v>
      </c>
      <c r="N47" s="10"/>
      <c r="O47" s="32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9" t="s">
        <v>66</v>
      </c>
      <c r="B48" s="65" t="s">
        <v>21</v>
      </c>
      <c r="C48" s="47" t="s">
        <v>201</v>
      </c>
      <c r="D48" s="50">
        <v>1.0</v>
      </c>
      <c r="E48" s="39">
        <v>12.0</v>
      </c>
      <c r="F48" s="39">
        <v>42.5</v>
      </c>
      <c r="G48" s="50">
        <v>0.0</v>
      </c>
      <c r="H48" s="39">
        <v>12.0</v>
      </c>
      <c r="I48" s="39">
        <v>42.5</v>
      </c>
      <c r="J48" s="50">
        <v>0.0</v>
      </c>
      <c r="K48" s="39">
        <v>12.0</v>
      </c>
      <c r="L48" s="39">
        <v>42.5</v>
      </c>
      <c r="M48" s="11">
        <f t="shared" si="4"/>
        <v>1530</v>
      </c>
      <c r="N48" s="51"/>
      <c r="O48" s="3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6" t="s">
        <v>50</v>
      </c>
      <c r="B49" s="65" t="s">
        <v>21</v>
      </c>
      <c r="C49" s="47" t="s">
        <v>202</v>
      </c>
      <c r="D49" s="48">
        <v>0.0</v>
      </c>
      <c r="E49" s="38">
        <v>18.0</v>
      </c>
      <c r="F49" s="38">
        <v>9.0</v>
      </c>
      <c r="G49" s="48">
        <v>0.0</v>
      </c>
      <c r="H49" s="38">
        <v>16.0</v>
      </c>
      <c r="I49" s="38">
        <v>9.0</v>
      </c>
      <c r="J49" s="48">
        <v>0.0</v>
      </c>
      <c r="K49" s="38">
        <v>16.0</v>
      </c>
      <c r="L49" s="38">
        <v>9.0</v>
      </c>
      <c r="M49" s="11">
        <f t="shared" si="4"/>
        <v>450</v>
      </c>
      <c r="N49" s="10"/>
      <c r="O49" s="32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9" t="s">
        <v>51</v>
      </c>
      <c r="B50" s="65" t="s">
        <v>21</v>
      </c>
      <c r="C50" s="47" t="s">
        <v>202</v>
      </c>
      <c r="D50" s="50">
        <v>0.0</v>
      </c>
      <c r="E50" s="23">
        <v>15.0</v>
      </c>
      <c r="F50" s="23">
        <v>12.5</v>
      </c>
      <c r="G50" s="50">
        <v>0.0</v>
      </c>
      <c r="H50" s="33">
        <v>15.0</v>
      </c>
      <c r="I50" s="33">
        <v>12.5</v>
      </c>
      <c r="J50" s="50">
        <v>0.0</v>
      </c>
      <c r="K50" s="33">
        <v>15.0</v>
      </c>
      <c r="L50" s="33">
        <v>12.5</v>
      </c>
      <c r="M50" s="11">
        <f t="shared" si="4"/>
        <v>562.5</v>
      </c>
      <c r="N50" s="13"/>
      <c r="O50" s="3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6" t="s">
        <v>52</v>
      </c>
      <c r="B51" s="65" t="s">
        <v>21</v>
      </c>
      <c r="C51" s="47" t="s">
        <v>202</v>
      </c>
      <c r="D51" s="48">
        <v>0.0</v>
      </c>
      <c r="E51" s="19">
        <v>15.0</v>
      </c>
      <c r="F51" s="19">
        <v>20.0</v>
      </c>
      <c r="G51" s="48">
        <v>0.0</v>
      </c>
      <c r="H51" s="31">
        <v>15.0</v>
      </c>
      <c r="I51" s="31">
        <v>20.0</v>
      </c>
      <c r="J51" s="48">
        <v>0.0</v>
      </c>
      <c r="K51" s="31">
        <v>15.0</v>
      </c>
      <c r="L51" s="31">
        <v>20.0</v>
      </c>
      <c r="M51" s="11">
        <f t="shared" si="4"/>
        <v>900</v>
      </c>
      <c r="N51" s="10"/>
      <c r="O51" s="32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9" t="s">
        <v>67</v>
      </c>
      <c r="B52" s="65" t="s">
        <v>21</v>
      </c>
      <c r="C52" s="47" t="s">
        <v>248</v>
      </c>
      <c r="D52" s="50">
        <v>0.0</v>
      </c>
      <c r="E52" s="23">
        <v>12.0</v>
      </c>
      <c r="F52" s="23">
        <v>25.0</v>
      </c>
      <c r="G52" s="50">
        <v>0.0</v>
      </c>
      <c r="H52" s="39">
        <v>10.0</v>
      </c>
      <c r="I52" s="39">
        <v>30.0</v>
      </c>
      <c r="J52" s="50">
        <v>0.0</v>
      </c>
      <c r="K52" s="39">
        <v>10.0</v>
      </c>
      <c r="L52" s="39">
        <v>30.0</v>
      </c>
      <c r="M52" s="11">
        <f t="shared" si="4"/>
        <v>900</v>
      </c>
      <c r="N52" s="51"/>
      <c r="O52" s="3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6" t="s">
        <v>68</v>
      </c>
      <c r="B53" s="65" t="s">
        <v>21</v>
      </c>
      <c r="C53" s="47" t="s">
        <v>201</v>
      </c>
      <c r="D53" s="48">
        <v>1.0</v>
      </c>
      <c r="E53" s="19">
        <v>12.0</v>
      </c>
      <c r="F53" s="19">
        <v>15.0</v>
      </c>
      <c r="G53" s="48">
        <v>0.0</v>
      </c>
      <c r="H53" s="19">
        <v>12.0</v>
      </c>
      <c r="I53" s="19">
        <v>15.0</v>
      </c>
      <c r="J53" s="48">
        <v>0.0</v>
      </c>
      <c r="K53" s="19">
        <v>12.0</v>
      </c>
      <c r="L53" s="19">
        <v>15.0</v>
      </c>
      <c r="M53" s="11">
        <f t="shared" si="4"/>
        <v>540</v>
      </c>
      <c r="N53" s="51"/>
      <c r="O53" s="32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9" t="s">
        <v>53</v>
      </c>
      <c r="B54" s="65" t="s">
        <v>21</v>
      </c>
      <c r="C54" s="47" t="s">
        <v>203</v>
      </c>
      <c r="D54" s="50">
        <v>0.0</v>
      </c>
      <c r="E54" s="23">
        <v>16.0</v>
      </c>
      <c r="F54" s="23">
        <v>57.5</v>
      </c>
      <c r="G54" s="50">
        <v>0.0</v>
      </c>
      <c r="H54" s="23">
        <v>16.0</v>
      </c>
      <c r="I54" s="23">
        <v>57.5</v>
      </c>
      <c r="J54" s="50">
        <v>0.0</v>
      </c>
      <c r="K54" s="23">
        <v>16.0</v>
      </c>
      <c r="L54" s="23">
        <v>57.5</v>
      </c>
      <c r="M54" s="11">
        <f t="shared" si="4"/>
        <v>2760</v>
      </c>
      <c r="N54" s="51"/>
      <c r="O54" s="3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6" t="s">
        <v>211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11">
        <f>SUM(M45,M46,M47,M48,M49,M50,M51,M52,M53,M54)</f>
        <v>12282.5</v>
      </c>
      <c r="N55" s="67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8" t="s">
        <v>212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6" t="s">
        <v>63</v>
      </c>
      <c r="B58" s="69" t="s">
        <v>22</v>
      </c>
      <c r="C58" s="47" t="s">
        <v>246</v>
      </c>
      <c r="D58" s="48">
        <v>1.0</v>
      </c>
      <c r="E58" s="19"/>
      <c r="F58" s="19"/>
      <c r="G58" s="48">
        <v>1.0</v>
      </c>
      <c r="H58" s="19"/>
      <c r="I58" s="19"/>
      <c r="J58" s="48">
        <v>1.0</v>
      </c>
      <c r="K58" s="19"/>
      <c r="L58" s="19"/>
      <c r="M58" s="11">
        <f t="shared" ref="M58:M67" si="5">IFERROR(IFERROR(E58*F58,0)+IFERROR(H58*I58,0)+IFERROR(K58*L58,0),0)</f>
        <v>0</v>
      </c>
      <c r="N58" s="10"/>
      <c r="O58" s="3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9" t="s">
        <v>64</v>
      </c>
      <c r="B59" s="69" t="s">
        <v>22</v>
      </c>
      <c r="C59" s="47" t="s">
        <v>247</v>
      </c>
      <c r="D59" s="50">
        <v>1.0</v>
      </c>
      <c r="E59" s="23"/>
      <c r="F59" s="23"/>
      <c r="G59" s="50">
        <v>1.0</v>
      </c>
      <c r="H59" s="23"/>
      <c r="I59" s="23"/>
      <c r="J59" s="50">
        <v>0.0</v>
      </c>
      <c r="K59" s="23"/>
      <c r="L59" s="23"/>
      <c r="M59" s="11">
        <f t="shared" si="5"/>
        <v>0</v>
      </c>
      <c r="N59" s="51"/>
      <c r="O59" s="3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6" t="s">
        <v>65</v>
      </c>
      <c r="B60" s="69" t="s">
        <v>22</v>
      </c>
      <c r="C60" s="47" t="s">
        <v>200</v>
      </c>
      <c r="D60" s="48">
        <v>1.0</v>
      </c>
      <c r="E60" s="19"/>
      <c r="F60" s="19"/>
      <c r="G60" s="48">
        <v>1.0</v>
      </c>
      <c r="H60" s="19"/>
      <c r="I60" s="19"/>
      <c r="J60" s="48">
        <v>1.0</v>
      </c>
      <c r="K60" s="19"/>
      <c r="L60" s="19"/>
      <c r="M60" s="11">
        <f t="shared" si="5"/>
        <v>0</v>
      </c>
      <c r="N60" s="10"/>
      <c r="O60" s="3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9" t="s">
        <v>66</v>
      </c>
      <c r="B61" s="69" t="s">
        <v>22</v>
      </c>
      <c r="C61" s="47" t="s">
        <v>201</v>
      </c>
      <c r="D61" s="50">
        <v>1.0</v>
      </c>
      <c r="E61" s="23"/>
      <c r="F61" s="23"/>
      <c r="G61" s="50">
        <v>0.0</v>
      </c>
      <c r="H61" s="23"/>
      <c r="I61" s="23"/>
      <c r="J61" s="50">
        <v>0.0</v>
      </c>
      <c r="K61" s="23"/>
      <c r="L61" s="23"/>
      <c r="M61" s="11">
        <f t="shared" si="5"/>
        <v>0</v>
      </c>
      <c r="N61" s="51"/>
      <c r="O61" s="3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6" t="s">
        <v>50</v>
      </c>
      <c r="B62" s="69" t="s">
        <v>22</v>
      </c>
      <c r="C62" s="47" t="s">
        <v>202</v>
      </c>
      <c r="D62" s="48">
        <v>0.0</v>
      </c>
      <c r="E62" s="19"/>
      <c r="F62" s="19"/>
      <c r="G62" s="48">
        <v>0.0</v>
      </c>
      <c r="H62" s="19"/>
      <c r="I62" s="19"/>
      <c r="J62" s="48">
        <v>0.0</v>
      </c>
      <c r="K62" s="19"/>
      <c r="L62" s="19"/>
      <c r="M62" s="11">
        <f t="shared" si="5"/>
        <v>0</v>
      </c>
      <c r="N62" s="10"/>
      <c r="O62" s="3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9" t="s">
        <v>51</v>
      </c>
      <c r="B63" s="69" t="s">
        <v>22</v>
      </c>
      <c r="C63" s="47" t="s">
        <v>202</v>
      </c>
      <c r="D63" s="50">
        <v>0.0</v>
      </c>
      <c r="E63" s="23"/>
      <c r="F63" s="23"/>
      <c r="G63" s="50">
        <v>0.0</v>
      </c>
      <c r="H63" s="23"/>
      <c r="I63" s="23"/>
      <c r="J63" s="50">
        <v>0.0</v>
      </c>
      <c r="K63" s="23"/>
      <c r="L63" s="23"/>
      <c r="M63" s="11">
        <f t="shared" si="5"/>
        <v>0</v>
      </c>
      <c r="N63" s="13"/>
      <c r="O63" s="3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6" t="s">
        <v>52</v>
      </c>
      <c r="B64" s="69" t="s">
        <v>22</v>
      </c>
      <c r="C64" s="47" t="s">
        <v>202</v>
      </c>
      <c r="D64" s="48">
        <v>0.0</v>
      </c>
      <c r="E64" s="19"/>
      <c r="F64" s="19"/>
      <c r="G64" s="48">
        <v>0.0</v>
      </c>
      <c r="H64" s="19"/>
      <c r="I64" s="19"/>
      <c r="J64" s="48">
        <v>0.0</v>
      </c>
      <c r="K64" s="19"/>
      <c r="L64" s="19"/>
      <c r="M64" s="11">
        <f t="shared" si="5"/>
        <v>0</v>
      </c>
      <c r="N64" s="10"/>
      <c r="O64" s="32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9" t="s">
        <v>67</v>
      </c>
      <c r="B65" s="69" t="s">
        <v>22</v>
      </c>
      <c r="C65" s="47" t="s">
        <v>248</v>
      </c>
      <c r="D65" s="50">
        <v>0.0</v>
      </c>
      <c r="E65" s="23"/>
      <c r="F65" s="23"/>
      <c r="G65" s="50">
        <v>0.0</v>
      </c>
      <c r="H65" s="23"/>
      <c r="I65" s="23"/>
      <c r="J65" s="50">
        <v>0.0</v>
      </c>
      <c r="K65" s="23"/>
      <c r="L65" s="23"/>
      <c r="M65" s="11">
        <f t="shared" si="5"/>
        <v>0</v>
      </c>
      <c r="N65" s="51"/>
      <c r="O65" s="3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6" t="s">
        <v>68</v>
      </c>
      <c r="B66" s="69" t="s">
        <v>22</v>
      </c>
      <c r="C66" s="47" t="s">
        <v>201</v>
      </c>
      <c r="D66" s="48">
        <v>1.0</v>
      </c>
      <c r="E66" s="19"/>
      <c r="F66" s="19"/>
      <c r="G66" s="48">
        <v>0.0</v>
      </c>
      <c r="H66" s="19"/>
      <c r="I66" s="19"/>
      <c r="J66" s="48">
        <v>0.0</v>
      </c>
      <c r="K66" s="19"/>
      <c r="L66" s="19"/>
      <c r="M66" s="11">
        <f t="shared" si="5"/>
        <v>0</v>
      </c>
      <c r="N66" s="51"/>
      <c r="O66" s="3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9" t="s">
        <v>53</v>
      </c>
      <c r="B67" s="69" t="s">
        <v>22</v>
      </c>
      <c r="C67" s="47" t="s">
        <v>203</v>
      </c>
      <c r="D67" s="50">
        <v>0.0</v>
      </c>
      <c r="E67" s="23"/>
      <c r="F67" s="23"/>
      <c r="G67" s="50">
        <v>0.0</v>
      </c>
      <c r="H67" s="23"/>
      <c r="I67" s="23"/>
      <c r="J67" s="50">
        <v>0.0</v>
      </c>
      <c r="K67" s="23"/>
      <c r="L67" s="23"/>
      <c r="M67" s="11">
        <f t="shared" si="5"/>
        <v>0</v>
      </c>
      <c r="N67" s="51"/>
      <c r="O67" s="3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72" t="s">
        <v>216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11">
        <f>SUM(M58,M59,M60,M61,M62,M63,M64,M65,M66,M67)</f>
        <v>0</v>
      </c>
      <c r="N68" s="73"/>
      <c r="O68" s="7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74" t="s">
        <v>217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6" t="s">
        <v>63</v>
      </c>
      <c r="B71" s="75" t="s">
        <v>23</v>
      </c>
      <c r="C71" s="47" t="s">
        <v>246</v>
      </c>
      <c r="D71" s="48">
        <v>1.0</v>
      </c>
      <c r="E71" s="19"/>
      <c r="F71" s="19"/>
      <c r="G71" s="48">
        <v>1.0</v>
      </c>
      <c r="H71" s="19"/>
      <c r="I71" s="19"/>
      <c r="J71" s="48">
        <v>1.0</v>
      </c>
      <c r="K71" s="19"/>
      <c r="L71" s="19"/>
      <c r="M71" s="11">
        <f t="shared" ref="M71:M80" si="6">IFERROR(IFERROR(E71*F71,0)+IFERROR(H71*I71,0)+IFERROR(K71*L71,0),0)</f>
        <v>0</v>
      </c>
      <c r="N71" s="10"/>
      <c r="O71" s="3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9" t="s">
        <v>64</v>
      </c>
      <c r="B72" s="75" t="s">
        <v>23</v>
      </c>
      <c r="C72" s="47" t="s">
        <v>247</v>
      </c>
      <c r="D72" s="50">
        <v>1.0</v>
      </c>
      <c r="E72" s="23"/>
      <c r="F72" s="23"/>
      <c r="G72" s="50">
        <v>1.0</v>
      </c>
      <c r="H72" s="23"/>
      <c r="I72" s="23"/>
      <c r="J72" s="50">
        <v>0.0</v>
      </c>
      <c r="K72" s="23"/>
      <c r="L72" s="23"/>
      <c r="M72" s="11">
        <f t="shared" si="6"/>
        <v>0</v>
      </c>
      <c r="N72" s="51"/>
      <c r="O72" s="3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6" t="s">
        <v>65</v>
      </c>
      <c r="B73" s="75" t="s">
        <v>23</v>
      </c>
      <c r="C73" s="47" t="s">
        <v>200</v>
      </c>
      <c r="D73" s="48">
        <v>1.0</v>
      </c>
      <c r="E73" s="19"/>
      <c r="F73" s="19"/>
      <c r="G73" s="48">
        <v>1.0</v>
      </c>
      <c r="H73" s="19"/>
      <c r="I73" s="19"/>
      <c r="J73" s="48">
        <v>1.0</v>
      </c>
      <c r="K73" s="19"/>
      <c r="L73" s="19"/>
      <c r="M73" s="11">
        <f t="shared" si="6"/>
        <v>0</v>
      </c>
      <c r="N73" s="10"/>
      <c r="O73" s="3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9" t="s">
        <v>66</v>
      </c>
      <c r="B74" s="75" t="s">
        <v>23</v>
      </c>
      <c r="C74" s="47" t="s">
        <v>201</v>
      </c>
      <c r="D74" s="50">
        <v>1.0</v>
      </c>
      <c r="E74" s="23"/>
      <c r="F74" s="23"/>
      <c r="G74" s="50">
        <v>0.0</v>
      </c>
      <c r="H74" s="23"/>
      <c r="I74" s="23"/>
      <c r="J74" s="50">
        <v>0.0</v>
      </c>
      <c r="K74" s="23"/>
      <c r="L74" s="23"/>
      <c r="M74" s="11">
        <f t="shared" si="6"/>
        <v>0</v>
      </c>
      <c r="N74" s="51"/>
      <c r="O74" s="3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6" t="s">
        <v>50</v>
      </c>
      <c r="B75" s="75" t="s">
        <v>23</v>
      </c>
      <c r="C75" s="47" t="s">
        <v>202</v>
      </c>
      <c r="D75" s="48">
        <v>0.0</v>
      </c>
      <c r="E75" s="19"/>
      <c r="F75" s="19"/>
      <c r="G75" s="48">
        <v>0.0</v>
      </c>
      <c r="H75" s="19"/>
      <c r="I75" s="19"/>
      <c r="J75" s="48">
        <v>0.0</v>
      </c>
      <c r="K75" s="19"/>
      <c r="L75" s="19"/>
      <c r="M75" s="11">
        <f t="shared" si="6"/>
        <v>0</v>
      </c>
      <c r="N75" s="10"/>
      <c r="O75" s="32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9" t="s">
        <v>51</v>
      </c>
      <c r="B76" s="75" t="s">
        <v>23</v>
      </c>
      <c r="C76" s="47" t="s">
        <v>202</v>
      </c>
      <c r="D76" s="50">
        <v>0.0</v>
      </c>
      <c r="E76" s="23"/>
      <c r="F76" s="23"/>
      <c r="G76" s="50">
        <v>0.0</v>
      </c>
      <c r="H76" s="23"/>
      <c r="I76" s="23"/>
      <c r="J76" s="50">
        <v>0.0</v>
      </c>
      <c r="K76" s="23"/>
      <c r="L76" s="23"/>
      <c r="M76" s="11">
        <f t="shared" si="6"/>
        <v>0</v>
      </c>
      <c r="N76" s="13"/>
      <c r="O76" s="3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6" t="s">
        <v>52</v>
      </c>
      <c r="B77" s="75" t="s">
        <v>23</v>
      </c>
      <c r="C77" s="47" t="s">
        <v>202</v>
      </c>
      <c r="D77" s="48">
        <v>0.0</v>
      </c>
      <c r="E77" s="19"/>
      <c r="F77" s="19"/>
      <c r="G77" s="48">
        <v>0.0</v>
      </c>
      <c r="H77" s="19"/>
      <c r="I77" s="19"/>
      <c r="J77" s="48">
        <v>0.0</v>
      </c>
      <c r="K77" s="19"/>
      <c r="L77" s="19"/>
      <c r="M77" s="11">
        <f t="shared" si="6"/>
        <v>0</v>
      </c>
      <c r="N77" s="10"/>
      <c r="O77" s="32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9" t="s">
        <v>67</v>
      </c>
      <c r="B78" s="75" t="s">
        <v>23</v>
      </c>
      <c r="C78" s="47" t="s">
        <v>248</v>
      </c>
      <c r="D78" s="50">
        <v>0.0</v>
      </c>
      <c r="E78" s="23"/>
      <c r="F78" s="23"/>
      <c r="G78" s="50">
        <v>0.0</v>
      </c>
      <c r="H78" s="23"/>
      <c r="I78" s="23"/>
      <c r="J78" s="50">
        <v>0.0</v>
      </c>
      <c r="K78" s="23"/>
      <c r="L78" s="23"/>
      <c r="M78" s="11">
        <f t="shared" si="6"/>
        <v>0</v>
      </c>
      <c r="N78" s="51"/>
      <c r="O78" s="3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6" t="s">
        <v>68</v>
      </c>
      <c r="B79" s="75" t="s">
        <v>23</v>
      </c>
      <c r="C79" s="47" t="s">
        <v>201</v>
      </c>
      <c r="D79" s="48">
        <v>1.0</v>
      </c>
      <c r="E79" s="19"/>
      <c r="F79" s="19"/>
      <c r="G79" s="48">
        <v>0.0</v>
      </c>
      <c r="H79" s="19"/>
      <c r="I79" s="19"/>
      <c r="J79" s="48">
        <v>0.0</v>
      </c>
      <c r="K79" s="19"/>
      <c r="L79" s="19"/>
      <c r="M79" s="11">
        <f t="shared" si="6"/>
        <v>0</v>
      </c>
      <c r="N79" s="51"/>
      <c r="O79" s="32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9" t="s">
        <v>53</v>
      </c>
      <c r="B80" s="75" t="s">
        <v>23</v>
      </c>
      <c r="C80" s="47" t="s">
        <v>203</v>
      </c>
      <c r="D80" s="50">
        <v>0.0</v>
      </c>
      <c r="E80" s="23"/>
      <c r="F80" s="23"/>
      <c r="G80" s="50">
        <v>0.0</v>
      </c>
      <c r="H80" s="23"/>
      <c r="I80" s="23"/>
      <c r="J80" s="50">
        <v>0.0</v>
      </c>
      <c r="K80" s="23"/>
      <c r="L80" s="23"/>
      <c r="M80" s="11">
        <f t="shared" si="6"/>
        <v>0</v>
      </c>
      <c r="N80" s="51"/>
      <c r="O80" s="3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76" t="s">
        <v>218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11">
        <f>SUM(M71,M72,M73,M74,M75,M76,M77,M78,M79,M80)</f>
        <v>0</v>
      </c>
      <c r="N81" s="77"/>
      <c r="O81" s="7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78" t="s">
        <v>219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6" t="s">
        <v>63</v>
      </c>
      <c r="B84" s="79" t="s">
        <v>24</v>
      </c>
      <c r="C84" s="47" t="s">
        <v>246</v>
      </c>
      <c r="D84" s="48">
        <v>1.0</v>
      </c>
      <c r="E84" s="19"/>
      <c r="F84" s="19"/>
      <c r="G84" s="48">
        <v>1.0</v>
      </c>
      <c r="H84" s="19"/>
      <c r="I84" s="19"/>
      <c r="J84" s="48">
        <v>1.0</v>
      </c>
      <c r="K84" s="19"/>
      <c r="L84" s="19"/>
      <c r="M84" s="11">
        <f t="shared" ref="M84:M93" si="7">IFERROR(IFERROR(E84*F84,0)+IFERROR(H84*I84,0)+IFERROR(K84*L84,0),0)</f>
        <v>0</v>
      </c>
      <c r="N84" s="10"/>
      <c r="O84" s="32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9" t="s">
        <v>64</v>
      </c>
      <c r="B85" s="79" t="s">
        <v>24</v>
      </c>
      <c r="C85" s="47" t="s">
        <v>247</v>
      </c>
      <c r="D85" s="50">
        <v>1.0</v>
      </c>
      <c r="E85" s="23"/>
      <c r="F85" s="23"/>
      <c r="G85" s="50">
        <v>1.0</v>
      </c>
      <c r="H85" s="23"/>
      <c r="I85" s="23"/>
      <c r="J85" s="50">
        <v>0.0</v>
      </c>
      <c r="K85" s="23"/>
      <c r="L85" s="23"/>
      <c r="M85" s="11">
        <f t="shared" si="7"/>
        <v>0</v>
      </c>
      <c r="N85" s="51"/>
      <c r="O85" s="3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6" t="s">
        <v>65</v>
      </c>
      <c r="B86" s="79" t="s">
        <v>24</v>
      </c>
      <c r="C86" s="47" t="s">
        <v>200</v>
      </c>
      <c r="D86" s="48">
        <v>1.0</v>
      </c>
      <c r="E86" s="19"/>
      <c r="F86" s="19"/>
      <c r="G86" s="48">
        <v>1.0</v>
      </c>
      <c r="H86" s="19"/>
      <c r="I86" s="19"/>
      <c r="J86" s="48">
        <v>1.0</v>
      </c>
      <c r="K86" s="19"/>
      <c r="L86" s="19"/>
      <c r="M86" s="11">
        <f t="shared" si="7"/>
        <v>0</v>
      </c>
      <c r="N86" s="10"/>
      <c r="O86" s="32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9" t="s">
        <v>66</v>
      </c>
      <c r="B87" s="79" t="s">
        <v>24</v>
      </c>
      <c r="C87" s="47" t="s">
        <v>201</v>
      </c>
      <c r="D87" s="50">
        <v>1.0</v>
      </c>
      <c r="E87" s="23"/>
      <c r="F87" s="23"/>
      <c r="G87" s="50">
        <v>0.0</v>
      </c>
      <c r="H87" s="23"/>
      <c r="I87" s="23"/>
      <c r="J87" s="50">
        <v>0.0</v>
      </c>
      <c r="K87" s="23"/>
      <c r="L87" s="23"/>
      <c r="M87" s="11">
        <f t="shared" si="7"/>
        <v>0</v>
      </c>
      <c r="N87" s="51"/>
      <c r="O87" s="3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6" t="s">
        <v>50</v>
      </c>
      <c r="B88" s="79" t="s">
        <v>24</v>
      </c>
      <c r="C88" s="47" t="s">
        <v>202</v>
      </c>
      <c r="D88" s="48">
        <v>0.0</v>
      </c>
      <c r="E88" s="19"/>
      <c r="F88" s="19"/>
      <c r="G88" s="48">
        <v>0.0</v>
      </c>
      <c r="H88" s="19"/>
      <c r="I88" s="19"/>
      <c r="J88" s="48">
        <v>0.0</v>
      </c>
      <c r="K88" s="19"/>
      <c r="L88" s="19"/>
      <c r="M88" s="11">
        <f t="shared" si="7"/>
        <v>0</v>
      </c>
      <c r="N88" s="10"/>
      <c r="O88" s="32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9" t="s">
        <v>51</v>
      </c>
      <c r="B89" s="79" t="s">
        <v>24</v>
      </c>
      <c r="C89" s="47" t="s">
        <v>202</v>
      </c>
      <c r="D89" s="50">
        <v>0.0</v>
      </c>
      <c r="E89" s="23"/>
      <c r="F89" s="23"/>
      <c r="G89" s="50">
        <v>0.0</v>
      </c>
      <c r="H89" s="23"/>
      <c r="I89" s="23"/>
      <c r="J89" s="50">
        <v>0.0</v>
      </c>
      <c r="K89" s="23"/>
      <c r="L89" s="23"/>
      <c r="M89" s="11">
        <f t="shared" si="7"/>
        <v>0</v>
      </c>
      <c r="N89" s="13"/>
      <c r="O89" s="3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6" t="s">
        <v>52</v>
      </c>
      <c r="B90" s="79" t="s">
        <v>24</v>
      </c>
      <c r="C90" s="47" t="s">
        <v>202</v>
      </c>
      <c r="D90" s="48">
        <v>0.0</v>
      </c>
      <c r="E90" s="19"/>
      <c r="F90" s="19"/>
      <c r="G90" s="48">
        <v>0.0</v>
      </c>
      <c r="H90" s="19"/>
      <c r="I90" s="19"/>
      <c r="J90" s="48">
        <v>0.0</v>
      </c>
      <c r="K90" s="19"/>
      <c r="L90" s="19"/>
      <c r="M90" s="11">
        <f t="shared" si="7"/>
        <v>0</v>
      </c>
      <c r="N90" s="10"/>
      <c r="O90" s="32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9" t="s">
        <v>67</v>
      </c>
      <c r="B91" s="79" t="s">
        <v>24</v>
      </c>
      <c r="C91" s="47" t="s">
        <v>248</v>
      </c>
      <c r="D91" s="50">
        <v>0.0</v>
      </c>
      <c r="E91" s="23"/>
      <c r="F91" s="23"/>
      <c r="G91" s="50">
        <v>0.0</v>
      </c>
      <c r="H91" s="23"/>
      <c r="I91" s="23"/>
      <c r="J91" s="50">
        <v>0.0</v>
      </c>
      <c r="K91" s="23"/>
      <c r="L91" s="23"/>
      <c r="M91" s="11">
        <f t="shared" si="7"/>
        <v>0</v>
      </c>
      <c r="N91" s="51"/>
      <c r="O91" s="3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6" t="s">
        <v>68</v>
      </c>
      <c r="B92" s="79" t="s">
        <v>24</v>
      </c>
      <c r="C92" s="47" t="s">
        <v>201</v>
      </c>
      <c r="D92" s="48">
        <v>1.0</v>
      </c>
      <c r="E92" s="19"/>
      <c r="F92" s="19"/>
      <c r="G92" s="48">
        <v>0.0</v>
      </c>
      <c r="H92" s="19"/>
      <c r="I92" s="19"/>
      <c r="J92" s="48">
        <v>0.0</v>
      </c>
      <c r="K92" s="19"/>
      <c r="L92" s="19"/>
      <c r="M92" s="11">
        <f t="shared" si="7"/>
        <v>0</v>
      </c>
      <c r="N92" s="51"/>
      <c r="O92" s="3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9" t="s">
        <v>53</v>
      </c>
      <c r="B93" s="79" t="s">
        <v>24</v>
      </c>
      <c r="C93" s="47" t="s">
        <v>203</v>
      </c>
      <c r="D93" s="50">
        <v>0.0</v>
      </c>
      <c r="E93" s="23"/>
      <c r="F93" s="23"/>
      <c r="G93" s="50">
        <v>0.0</v>
      </c>
      <c r="H93" s="23"/>
      <c r="I93" s="23"/>
      <c r="J93" s="50">
        <v>0.0</v>
      </c>
      <c r="K93" s="23"/>
      <c r="L93" s="23"/>
      <c r="M93" s="11">
        <f t="shared" si="7"/>
        <v>0</v>
      </c>
      <c r="N93" s="51"/>
      <c r="O93" s="3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80" t="s">
        <v>220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11">
        <f>SUM(M84,M85,M86,M87,M88,M89,M90,M91,M92,M93)</f>
        <v>0</v>
      </c>
      <c r="N94" s="82"/>
      <c r="O94" s="82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83" t="s">
        <v>221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6" t="s">
        <v>63</v>
      </c>
      <c r="B97" s="84" t="s">
        <v>25</v>
      </c>
      <c r="C97" s="47" t="s">
        <v>246</v>
      </c>
      <c r="D97" s="48">
        <v>1.0</v>
      </c>
      <c r="E97" s="19"/>
      <c r="F97" s="19"/>
      <c r="G97" s="48">
        <v>1.0</v>
      </c>
      <c r="H97" s="19"/>
      <c r="I97" s="19"/>
      <c r="J97" s="48">
        <v>1.0</v>
      </c>
      <c r="K97" s="19"/>
      <c r="L97" s="19"/>
      <c r="M97" s="11">
        <f t="shared" ref="M97:M106" si="8">IFERROR(IFERROR(E97*F97,0)+IFERROR(H97*I97,0)+IFERROR(K97*L97,0),0)</f>
        <v>0</v>
      </c>
      <c r="N97" s="10"/>
      <c r="O97" s="32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9" t="s">
        <v>64</v>
      </c>
      <c r="B98" s="84" t="s">
        <v>25</v>
      </c>
      <c r="C98" s="47" t="s">
        <v>247</v>
      </c>
      <c r="D98" s="50">
        <v>1.0</v>
      </c>
      <c r="E98" s="23"/>
      <c r="F98" s="23"/>
      <c r="G98" s="50">
        <v>1.0</v>
      </c>
      <c r="H98" s="23"/>
      <c r="I98" s="23"/>
      <c r="J98" s="50">
        <v>0.0</v>
      </c>
      <c r="K98" s="23"/>
      <c r="L98" s="23"/>
      <c r="M98" s="11">
        <f t="shared" si="8"/>
        <v>0</v>
      </c>
      <c r="N98" s="51"/>
      <c r="O98" s="3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6" t="s">
        <v>65</v>
      </c>
      <c r="B99" s="84" t="s">
        <v>25</v>
      </c>
      <c r="C99" s="47" t="s">
        <v>200</v>
      </c>
      <c r="D99" s="48">
        <v>1.0</v>
      </c>
      <c r="E99" s="19"/>
      <c r="F99" s="19"/>
      <c r="G99" s="48">
        <v>1.0</v>
      </c>
      <c r="H99" s="19"/>
      <c r="I99" s="19"/>
      <c r="J99" s="48">
        <v>1.0</v>
      </c>
      <c r="K99" s="19"/>
      <c r="L99" s="19"/>
      <c r="M99" s="11">
        <f t="shared" si="8"/>
        <v>0</v>
      </c>
      <c r="N99" s="10"/>
      <c r="O99" s="32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9" t="s">
        <v>66</v>
      </c>
      <c r="B100" s="84" t="s">
        <v>25</v>
      </c>
      <c r="C100" s="47" t="s">
        <v>201</v>
      </c>
      <c r="D100" s="50">
        <v>1.0</v>
      </c>
      <c r="E100" s="23"/>
      <c r="F100" s="23"/>
      <c r="G100" s="50">
        <v>0.0</v>
      </c>
      <c r="H100" s="23"/>
      <c r="I100" s="23"/>
      <c r="J100" s="50">
        <v>0.0</v>
      </c>
      <c r="K100" s="23"/>
      <c r="L100" s="23"/>
      <c r="M100" s="11">
        <f t="shared" si="8"/>
        <v>0</v>
      </c>
      <c r="N100" s="51"/>
      <c r="O100" s="3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6" t="s">
        <v>50</v>
      </c>
      <c r="B101" s="84" t="s">
        <v>25</v>
      </c>
      <c r="C101" s="47" t="s">
        <v>202</v>
      </c>
      <c r="D101" s="48">
        <v>0.0</v>
      </c>
      <c r="E101" s="19"/>
      <c r="F101" s="19"/>
      <c r="G101" s="48">
        <v>0.0</v>
      </c>
      <c r="H101" s="19"/>
      <c r="I101" s="19"/>
      <c r="J101" s="48">
        <v>0.0</v>
      </c>
      <c r="K101" s="19"/>
      <c r="L101" s="19"/>
      <c r="M101" s="11">
        <f t="shared" si="8"/>
        <v>0</v>
      </c>
      <c r="N101" s="10"/>
      <c r="O101" s="32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9" t="s">
        <v>51</v>
      </c>
      <c r="B102" s="84" t="s">
        <v>25</v>
      </c>
      <c r="C102" s="47" t="s">
        <v>202</v>
      </c>
      <c r="D102" s="50">
        <v>0.0</v>
      </c>
      <c r="E102" s="23"/>
      <c r="F102" s="23"/>
      <c r="G102" s="50">
        <v>0.0</v>
      </c>
      <c r="H102" s="23"/>
      <c r="I102" s="23"/>
      <c r="J102" s="50">
        <v>0.0</v>
      </c>
      <c r="K102" s="23"/>
      <c r="L102" s="23"/>
      <c r="M102" s="11">
        <f t="shared" si="8"/>
        <v>0</v>
      </c>
      <c r="N102" s="13"/>
      <c r="O102" s="3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6" t="s">
        <v>52</v>
      </c>
      <c r="B103" s="84" t="s">
        <v>25</v>
      </c>
      <c r="C103" s="47" t="s">
        <v>202</v>
      </c>
      <c r="D103" s="48">
        <v>0.0</v>
      </c>
      <c r="E103" s="19"/>
      <c r="F103" s="19"/>
      <c r="G103" s="48">
        <v>0.0</v>
      </c>
      <c r="H103" s="19"/>
      <c r="I103" s="19"/>
      <c r="J103" s="48">
        <v>0.0</v>
      </c>
      <c r="K103" s="19"/>
      <c r="L103" s="19"/>
      <c r="M103" s="11">
        <f t="shared" si="8"/>
        <v>0</v>
      </c>
      <c r="N103" s="10"/>
      <c r="O103" s="32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9" t="s">
        <v>67</v>
      </c>
      <c r="B104" s="84" t="s">
        <v>25</v>
      </c>
      <c r="C104" s="47" t="s">
        <v>248</v>
      </c>
      <c r="D104" s="50">
        <v>0.0</v>
      </c>
      <c r="E104" s="23"/>
      <c r="F104" s="23"/>
      <c r="G104" s="50">
        <v>0.0</v>
      </c>
      <c r="H104" s="23"/>
      <c r="I104" s="23"/>
      <c r="J104" s="50">
        <v>0.0</v>
      </c>
      <c r="K104" s="23"/>
      <c r="L104" s="23"/>
      <c r="M104" s="11">
        <f t="shared" si="8"/>
        <v>0</v>
      </c>
      <c r="N104" s="51"/>
      <c r="O104" s="3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6" t="s">
        <v>68</v>
      </c>
      <c r="B105" s="84" t="s">
        <v>25</v>
      </c>
      <c r="C105" s="47" t="s">
        <v>201</v>
      </c>
      <c r="D105" s="48">
        <v>1.0</v>
      </c>
      <c r="E105" s="19"/>
      <c r="F105" s="19"/>
      <c r="G105" s="48">
        <v>0.0</v>
      </c>
      <c r="H105" s="19"/>
      <c r="I105" s="19"/>
      <c r="J105" s="48">
        <v>0.0</v>
      </c>
      <c r="K105" s="19"/>
      <c r="L105" s="19"/>
      <c r="M105" s="11">
        <f t="shared" si="8"/>
        <v>0</v>
      </c>
      <c r="N105" s="51"/>
      <c r="O105" s="32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9" t="s">
        <v>53</v>
      </c>
      <c r="B106" s="84" t="s">
        <v>25</v>
      </c>
      <c r="C106" s="47" t="s">
        <v>203</v>
      </c>
      <c r="D106" s="50">
        <v>0.0</v>
      </c>
      <c r="E106" s="23"/>
      <c r="F106" s="23"/>
      <c r="G106" s="50">
        <v>0.0</v>
      </c>
      <c r="H106" s="23"/>
      <c r="I106" s="23"/>
      <c r="J106" s="50">
        <v>0.0</v>
      </c>
      <c r="K106" s="23"/>
      <c r="L106" s="23"/>
      <c r="M106" s="11">
        <f t="shared" si="8"/>
        <v>0</v>
      </c>
      <c r="N106" s="51"/>
      <c r="O106" s="3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85" t="s">
        <v>222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11">
        <f>SUM(M97,M98,M99,M100,M101,M102,M103,M104,M105,M106)</f>
        <v>0</v>
      </c>
      <c r="N107" s="86"/>
      <c r="O107" s="8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25" t="s">
        <v>223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0.0" customHeight="1">
      <c r="A110" s="5" t="s">
        <v>224</v>
      </c>
      <c r="B110" s="2"/>
      <c r="C110" s="2"/>
      <c r="D110" s="2"/>
      <c r="E110" s="3"/>
      <c r="F110" s="5" t="s">
        <v>225</v>
      </c>
      <c r="G110" s="3"/>
      <c r="H110" s="5" t="s">
        <v>226</v>
      </c>
      <c r="I110" s="2"/>
      <c r="J110" s="3"/>
      <c r="K110" s="5" t="s">
        <v>227</v>
      </c>
      <c r="L110" s="2"/>
      <c r="M110" s="2"/>
      <c r="N110" s="2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87"/>
      <c r="B111" s="2"/>
      <c r="C111" s="2"/>
      <c r="D111" s="2"/>
      <c r="E111" s="3"/>
      <c r="F111" s="87"/>
      <c r="G111" s="3"/>
      <c r="H111" s="87"/>
      <c r="I111" s="2"/>
      <c r="J111" s="3"/>
      <c r="K111" s="87"/>
      <c r="L111" s="2"/>
      <c r="M111" s="2"/>
      <c r="N111" s="2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88"/>
      <c r="B112" s="2"/>
      <c r="C112" s="2"/>
      <c r="D112" s="2"/>
      <c r="E112" s="3"/>
      <c r="F112" s="88"/>
      <c r="G112" s="3"/>
      <c r="H112" s="88"/>
      <c r="I112" s="2"/>
      <c r="J112" s="3"/>
      <c r="K112" s="88"/>
      <c r="L112" s="2"/>
      <c r="M112" s="2"/>
      <c r="N112" s="2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87"/>
      <c r="B113" s="2"/>
      <c r="C113" s="2"/>
      <c r="D113" s="2"/>
      <c r="E113" s="3"/>
      <c r="F113" s="87"/>
      <c r="G113" s="3"/>
      <c r="H113" s="87"/>
      <c r="I113" s="2"/>
      <c r="J113" s="3"/>
      <c r="K113" s="87"/>
      <c r="L113" s="2"/>
      <c r="M113" s="2"/>
      <c r="N113" s="2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88"/>
      <c r="B114" s="2"/>
      <c r="C114" s="2"/>
      <c r="D114" s="2"/>
      <c r="E114" s="3"/>
      <c r="F114" s="88"/>
      <c r="G114" s="3"/>
      <c r="H114" s="88"/>
      <c r="I114" s="2"/>
      <c r="J114" s="3"/>
      <c r="K114" s="88"/>
      <c r="L114" s="2"/>
      <c r="M114" s="2"/>
      <c r="N114" s="2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O1"/>
    <mergeCell ref="A2:O2"/>
    <mergeCell ref="B3:E3"/>
    <mergeCell ref="F3:I3"/>
    <mergeCell ref="J3:O3"/>
    <mergeCell ref="A5:O5"/>
    <mergeCell ref="A18:O18"/>
    <mergeCell ref="A16:L16"/>
    <mergeCell ref="A29:L29"/>
    <mergeCell ref="A31:O31"/>
    <mergeCell ref="A42:L42"/>
    <mergeCell ref="A44:O44"/>
    <mergeCell ref="A55:L55"/>
    <mergeCell ref="A57:O57"/>
    <mergeCell ref="A68:L68"/>
    <mergeCell ref="A70:O70"/>
    <mergeCell ref="A81:L81"/>
    <mergeCell ref="A83:O83"/>
    <mergeCell ref="A94:L94"/>
    <mergeCell ref="A96:O96"/>
    <mergeCell ref="A107:L107"/>
    <mergeCell ref="H111:J111"/>
    <mergeCell ref="K111:O111"/>
    <mergeCell ref="A109:O109"/>
    <mergeCell ref="A110:E110"/>
    <mergeCell ref="F110:G110"/>
    <mergeCell ref="H110:J110"/>
    <mergeCell ref="K110:O110"/>
    <mergeCell ref="A111:E111"/>
    <mergeCell ref="F111:G111"/>
    <mergeCell ref="A113:E113"/>
    <mergeCell ref="A114:E114"/>
    <mergeCell ref="F114:G114"/>
    <mergeCell ref="H114:J114"/>
    <mergeCell ref="K114:O114"/>
    <mergeCell ref="A112:E112"/>
    <mergeCell ref="F112:G112"/>
    <mergeCell ref="H112:J112"/>
    <mergeCell ref="K112:O112"/>
    <mergeCell ref="F113:G113"/>
    <mergeCell ref="H113:J113"/>
    <mergeCell ref="K113:O11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.0"/>
    <col customWidth="1" min="3" max="3" width="13.71"/>
    <col customWidth="1" min="4" max="4" width="7.0"/>
    <col customWidth="1" min="5" max="6" width="9.0"/>
    <col customWidth="1" min="7" max="7" width="7.0"/>
    <col customWidth="1" min="8" max="9" width="9.0"/>
    <col customWidth="1" min="10" max="10" width="7.0"/>
    <col customWidth="1" min="11" max="12" width="9.0"/>
    <col customWidth="1" min="13" max="13" width="15.0"/>
    <col customWidth="1" min="14" max="14" width="26.0"/>
    <col customWidth="1" min="15" max="15" width="10.43"/>
  </cols>
  <sheetData>
    <row r="1" ht="33.75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2" t="s">
        <v>250</v>
      </c>
      <c r="B3" s="43" t="s">
        <v>251</v>
      </c>
      <c r="C3" s="2"/>
      <c r="D3" s="2"/>
      <c r="E3" s="3"/>
      <c r="F3" s="43" t="s">
        <v>252</v>
      </c>
      <c r="G3" s="2"/>
      <c r="H3" s="2"/>
      <c r="I3" s="3"/>
      <c r="J3" s="29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5" t="s">
        <v>28</v>
      </c>
      <c r="B4" s="15" t="s">
        <v>185</v>
      </c>
      <c r="C4" s="15" t="s">
        <v>186</v>
      </c>
      <c r="D4" s="15" t="s">
        <v>187</v>
      </c>
      <c r="E4" s="44" t="s">
        <v>188</v>
      </c>
      <c r="F4" s="44" t="s">
        <v>189</v>
      </c>
      <c r="G4" s="15" t="s">
        <v>190</v>
      </c>
      <c r="H4" s="44" t="s">
        <v>191</v>
      </c>
      <c r="I4" s="44" t="s">
        <v>192</v>
      </c>
      <c r="J4" s="15" t="s">
        <v>193</v>
      </c>
      <c r="K4" s="44" t="s">
        <v>194</v>
      </c>
      <c r="L4" s="44" t="s">
        <v>195</v>
      </c>
      <c r="M4" s="15" t="s">
        <v>196</v>
      </c>
      <c r="N4" s="44" t="s">
        <v>197</v>
      </c>
      <c r="O4" s="15" t="s">
        <v>198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5" t="s">
        <v>199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46" t="s">
        <v>70</v>
      </c>
      <c r="B6" s="15" t="s">
        <v>18</v>
      </c>
      <c r="C6" s="47" t="s">
        <v>200</v>
      </c>
      <c r="D6" s="48">
        <v>1.0</v>
      </c>
      <c r="E6" s="48">
        <v>12.0</v>
      </c>
      <c r="F6" s="19">
        <v>17.5</v>
      </c>
      <c r="G6" s="48">
        <v>1.0</v>
      </c>
      <c r="H6" s="48">
        <v>12.0</v>
      </c>
      <c r="I6" s="19">
        <v>17.5</v>
      </c>
      <c r="J6" s="48">
        <v>1.0</v>
      </c>
      <c r="K6" s="48">
        <v>12.0</v>
      </c>
      <c r="L6" s="19">
        <v>17.5</v>
      </c>
      <c r="M6" s="11">
        <f t="shared" ref="M6:M12" si="1">IFERROR(IFERROR(E6*F6,0)+IFERROR(H6*I6,0)+IFERROR(K6*L6,0),0)</f>
        <v>630</v>
      </c>
      <c r="N6" s="10"/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9" t="s">
        <v>71</v>
      </c>
      <c r="B7" s="15" t="s">
        <v>18</v>
      </c>
      <c r="C7" s="47" t="s">
        <v>214</v>
      </c>
      <c r="D7" s="50">
        <v>0.0</v>
      </c>
      <c r="E7" s="23">
        <v>12.0</v>
      </c>
      <c r="F7" s="23">
        <v>150.0</v>
      </c>
      <c r="G7" s="50">
        <v>0.0</v>
      </c>
      <c r="H7" s="23">
        <v>10.0</v>
      </c>
      <c r="I7" s="23">
        <v>150.0</v>
      </c>
      <c r="J7" s="50">
        <v>0.0</v>
      </c>
      <c r="K7" s="23">
        <v>10.0</v>
      </c>
      <c r="L7" s="23">
        <v>150.0</v>
      </c>
      <c r="M7" s="11">
        <f t="shared" si="1"/>
        <v>4800</v>
      </c>
      <c r="N7" s="51"/>
      <c r="O7" s="3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6" t="s">
        <v>48</v>
      </c>
      <c r="B8" s="15" t="s">
        <v>18</v>
      </c>
      <c r="C8" s="47" t="s">
        <v>201</v>
      </c>
      <c r="D8" s="48">
        <v>1.0</v>
      </c>
      <c r="E8" s="19">
        <v>12.0</v>
      </c>
      <c r="F8" s="19">
        <v>60.0</v>
      </c>
      <c r="G8" s="48">
        <v>0.0</v>
      </c>
      <c r="H8" s="19">
        <v>12.0</v>
      </c>
      <c r="I8" s="19">
        <v>60.0</v>
      </c>
      <c r="J8" s="48">
        <v>0.0</v>
      </c>
      <c r="K8" s="19">
        <v>12.0</v>
      </c>
      <c r="L8" s="19">
        <v>60.0</v>
      </c>
      <c r="M8" s="11">
        <f t="shared" si="1"/>
        <v>2160</v>
      </c>
      <c r="N8" s="51"/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9" t="s">
        <v>72</v>
      </c>
      <c r="B9" s="15" t="s">
        <v>18</v>
      </c>
      <c r="C9" s="47" t="s">
        <v>231</v>
      </c>
      <c r="D9" s="50">
        <v>1.0</v>
      </c>
      <c r="E9" s="23">
        <v>13.0</v>
      </c>
      <c r="F9" s="23">
        <v>47.5</v>
      </c>
      <c r="G9" s="50">
        <v>1.0</v>
      </c>
      <c r="H9" s="23">
        <v>12.0</v>
      </c>
      <c r="I9" s="23">
        <v>47.5</v>
      </c>
      <c r="J9" s="50">
        <v>0.0</v>
      </c>
      <c r="K9" s="23">
        <v>12.0</v>
      </c>
      <c r="L9" s="23">
        <v>47.5</v>
      </c>
      <c r="M9" s="11">
        <f t="shared" si="1"/>
        <v>1757.5</v>
      </c>
      <c r="N9" s="51"/>
      <c r="O9" s="3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6" t="s">
        <v>73</v>
      </c>
      <c r="B10" s="15" t="s">
        <v>18</v>
      </c>
      <c r="C10" s="47" t="s">
        <v>202</v>
      </c>
      <c r="D10" s="48">
        <v>0.0</v>
      </c>
      <c r="E10" s="19">
        <v>15.0</v>
      </c>
      <c r="F10" s="19">
        <v>35.0</v>
      </c>
      <c r="G10" s="48">
        <v>0.0</v>
      </c>
      <c r="H10" s="19">
        <v>15.0</v>
      </c>
      <c r="I10" s="19">
        <v>35.0</v>
      </c>
      <c r="J10" s="48">
        <v>0.0</v>
      </c>
      <c r="K10" s="19">
        <v>13.0</v>
      </c>
      <c r="L10" s="19">
        <v>35.0</v>
      </c>
      <c r="M10" s="11">
        <f t="shared" si="1"/>
        <v>1505</v>
      </c>
      <c r="N10" s="10"/>
      <c r="O10" s="3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9" t="s">
        <v>74</v>
      </c>
      <c r="B11" s="15" t="s">
        <v>18</v>
      </c>
      <c r="C11" s="47" t="s">
        <v>203</v>
      </c>
      <c r="D11" s="50">
        <v>0.0</v>
      </c>
      <c r="E11" s="23">
        <v>18.0</v>
      </c>
      <c r="F11" s="23">
        <v>100.0</v>
      </c>
      <c r="G11" s="50">
        <v>0.0</v>
      </c>
      <c r="H11" s="23">
        <v>18.0</v>
      </c>
      <c r="I11" s="23">
        <v>100.0</v>
      </c>
      <c r="J11" s="50">
        <v>0.0</v>
      </c>
      <c r="K11" s="23">
        <v>16.0</v>
      </c>
      <c r="L11" s="23">
        <v>100.0</v>
      </c>
      <c r="M11" s="11">
        <f t="shared" si="1"/>
        <v>5200</v>
      </c>
      <c r="N11" s="51"/>
      <c r="O11" s="3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6" t="s">
        <v>75</v>
      </c>
      <c r="B12" s="15" t="s">
        <v>18</v>
      </c>
      <c r="C12" s="47" t="s">
        <v>248</v>
      </c>
      <c r="D12" s="48">
        <v>0.0</v>
      </c>
      <c r="E12" s="19">
        <v>12.0</v>
      </c>
      <c r="F12" s="19">
        <v>50.0</v>
      </c>
      <c r="G12" s="48">
        <v>0.0</v>
      </c>
      <c r="H12" s="19">
        <v>12.0</v>
      </c>
      <c r="I12" s="19">
        <v>50.0</v>
      </c>
      <c r="J12" s="48">
        <v>0.0</v>
      </c>
      <c r="K12" s="19">
        <v>12.0</v>
      </c>
      <c r="L12" s="19">
        <v>50.0</v>
      </c>
      <c r="M12" s="11">
        <f t="shared" si="1"/>
        <v>1800</v>
      </c>
      <c r="N12" s="51"/>
      <c r="O12" s="3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52" t="s">
        <v>204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11">
        <f>SUM(M6,M7,M8,M9,M10,M11,M12)</f>
        <v>17852.5</v>
      </c>
      <c r="N13" s="53"/>
      <c r="O13" s="5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54" t="s">
        <v>205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6" t="s">
        <v>70</v>
      </c>
      <c r="B16" s="55" t="s">
        <v>19</v>
      </c>
      <c r="C16" s="47" t="s">
        <v>200</v>
      </c>
      <c r="D16" s="48">
        <v>1.0</v>
      </c>
      <c r="E16" s="19">
        <v>12.0</v>
      </c>
      <c r="F16" s="19">
        <v>15.0</v>
      </c>
      <c r="G16" s="48">
        <v>1.0</v>
      </c>
      <c r="H16" s="19">
        <v>12.0</v>
      </c>
      <c r="I16" s="19">
        <v>15.0</v>
      </c>
      <c r="J16" s="48">
        <v>1.0</v>
      </c>
      <c r="K16" s="19">
        <v>12.0</v>
      </c>
      <c r="L16" s="19">
        <v>15.0</v>
      </c>
      <c r="M16" s="11">
        <f t="shared" ref="M16:M22" si="2">IFERROR(IFERROR(E16*F16,0)+IFERROR(H16*I16,0)+IFERROR(K16*L16,0),0)</f>
        <v>540</v>
      </c>
      <c r="N16" s="10" t="s">
        <v>253</v>
      </c>
      <c r="O16" s="3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9" t="s">
        <v>71</v>
      </c>
      <c r="B17" s="55" t="s">
        <v>19</v>
      </c>
      <c r="C17" s="47" t="s">
        <v>214</v>
      </c>
      <c r="D17" s="50">
        <v>0.0</v>
      </c>
      <c r="E17" s="23">
        <v>12.0</v>
      </c>
      <c r="F17" s="23">
        <v>150.0</v>
      </c>
      <c r="G17" s="50">
        <v>0.0</v>
      </c>
      <c r="H17" s="23">
        <v>9.0</v>
      </c>
      <c r="I17" s="23">
        <v>150.0</v>
      </c>
      <c r="J17" s="50">
        <v>0.0</v>
      </c>
      <c r="K17" s="23">
        <v>10.0</v>
      </c>
      <c r="L17" s="23">
        <v>150.0</v>
      </c>
      <c r="M17" s="11">
        <f t="shared" si="2"/>
        <v>4650</v>
      </c>
      <c r="N17" s="51"/>
      <c r="O17" s="3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6" t="s">
        <v>48</v>
      </c>
      <c r="B18" s="55" t="s">
        <v>19</v>
      </c>
      <c r="C18" s="47" t="s">
        <v>201</v>
      </c>
      <c r="D18" s="48">
        <v>1.0</v>
      </c>
      <c r="E18" s="19">
        <v>12.0</v>
      </c>
      <c r="F18" s="19">
        <v>60.0</v>
      </c>
      <c r="G18" s="48">
        <v>0.0</v>
      </c>
      <c r="H18" s="19">
        <v>12.0</v>
      </c>
      <c r="I18" s="19">
        <v>60.0</v>
      </c>
      <c r="J18" s="48">
        <v>0.0</v>
      </c>
      <c r="K18" s="19">
        <v>12.0</v>
      </c>
      <c r="L18" s="19">
        <v>60.0</v>
      </c>
      <c r="M18" s="11">
        <f t="shared" si="2"/>
        <v>2160</v>
      </c>
      <c r="N18" s="51"/>
      <c r="O18" s="3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9" t="s">
        <v>72</v>
      </c>
      <c r="B19" s="55" t="s">
        <v>19</v>
      </c>
      <c r="C19" s="47" t="s">
        <v>231</v>
      </c>
      <c r="D19" s="50">
        <v>1.0</v>
      </c>
      <c r="E19" s="23">
        <v>12.0</v>
      </c>
      <c r="F19" s="23">
        <v>47.5</v>
      </c>
      <c r="G19" s="50">
        <v>1.0</v>
      </c>
      <c r="H19" s="23">
        <v>12.0</v>
      </c>
      <c r="I19" s="23">
        <v>47.5</v>
      </c>
      <c r="J19" s="50">
        <v>0.0</v>
      </c>
      <c r="K19" s="23">
        <v>12.0</v>
      </c>
      <c r="L19" s="23">
        <v>47.5</v>
      </c>
      <c r="M19" s="11">
        <f t="shared" si="2"/>
        <v>1710</v>
      </c>
      <c r="N19" s="51"/>
      <c r="O19" s="3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6" t="s">
        <v>73</v>
      </c>
      <c r="B20" s="55" t="s">
        <v>19</v>
      </c>
      <c r="C20" s="47" t="s">
        <v>202</v>
      </c>
      <c r="D20" s="48">
        <v>0.0</v>
      </c>
      <c r="E20" s="19">
        <v>15.0</v>
      </c>
      <c r="F20" s="19">
        <v>35.0</v>
      </c>
      <c r="G20" s="48">
        <v>0.0</v>
      </c>
      <c r="H20" s="19">
        <v>15.0</v>
      </c>
      <c r="I20" s="19">
        <v>35.0</v>
      </c>
      <c r="J20" s="48">
        <v>0.0</v>
      </c>
      <c r="K20" s="19">
        <v>15.0</v>
      </c>
      <c r="L20" s="19">
        <v>35.0</v>
      </c>
      <c r="M20" s="11">
        <f t="shared" si="2"/>
        <v>1575</v>
      </c>
      <c r="N20" s="10"/>
      <c r="O20" s="3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9" t="s">
        <v>74</v>
      </c>
      <c r="B21" s="55" t="s">
        <v>19</v>
      </c>
      <c r="C21" s="47" t="s">
        <v>203</v>
      </c>
      <c r="D21" s="50">
        <v>0.0</v>
      </c>
      <c r="E21" s="23">
        <v>18.0</v>
      </c>
      <c r="F21" s="23">
        <v>100.0</v>
      </c>
      <c r="G21" s="50">
        <v>0.0</v>
      </c>
      <c r="H21" s="23">
        <v>18.0</v>
      </c>
      <c r="I21" s="23">
        <v>100.0</v>
      </c>
      <c r="J21" s="50">
        <v>0.0</v>
      </c>
      <c r="K21" s="23">
        <v>18.0</v>
      </c>
      <c r="L21" s="23">
        <v>100.0</v>
      </c>
      <c r="M21" s="11">
        <f t="shared" si="2"/>
        <v>5400</v>
      </c>
      <c r="N21" s="51"/>
      <c r="O21" s="3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6" t="s">
        <v>75</v>
      </c>
      <c r="B22" s="55" t="s">
        <v>19</v>
      </c>
      <c r="C22" s="47" t="s">
        <v>248</v>
      </c>
      <c r="D22" s="48">
        <v>0.0</v>
      </c>
      <c r="E22" s="19">
        <v>13.0</v>
      </c>
      <c r="F22" s="19">
        <v>50.0</v>
      </c>
      <c r="G22" s="48">
        <v>0.0</v>
      </c>
      <c r="H22" s="19">
        <v>13.0</v>
      </c>
      <c r="I22" s="19">
        <v>50.0</v>
      </c>
      <c r="J22" s="48">
        <v>0.0</v>
      </c>
      <c r="K22" s="19">
        <v>14.0</v>
      </c>
      <c r="L22" s="19">
        <v>50.0</v>
      </c>
      <c r="M22" s="11">
        <f t="shared" si="2"/>
        <v>2000</v>
      </c>
      <c r="N22" s="51"/>
      <c r="O22" s="3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8" t="s">
        <v>207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11">
        <f>SUM(M16,M17,M18,M19,M20,M21,M22)</f>
        <v>18035</v>
      </c>
      <c r="N23" s="59"/>
      <c r="O23" s="5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0" t="s">
        <v>208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6" t="s">
        <v>70</v>
      </c>
      <c r="B26" s="61" t="s">
        <v>20</v>
      </c>
      <c r="C26" s="47" t="s">
        <v>200</v>
      </c>
      <c r="D26" s="48">
        <v>1.0</v>
      </c>
      <c r="E26" s="19">
        <v>12.0</v>
      </c>
      <c r="F26" s="19">
        <v>15.0</v>
      </c>
      <c r="G26" s="48">
        <v>1.0</v>
      </c>
      <c r="H26" s="19">
        <v>12.0</v>
      </c>
      <c r="I26" s="19">
        <v>15.0</v>
      </c>
      <c r="J26" s="48">
        <v>1.0</v>
      </c>
      <c r="K26" s="19">
        <v>12.0</v>
      </c>
      <c r="L26" s="19">
        <v>15.0</v>
      </c>
      <c r="M26" s="11">
        <f t="shared" ref="M26:M32" si="3">IFERROR(IFERROR(E26*F26,0)+IFERROR(H26*I26,0)+IFERROR(K26*L26,0),0)</f>
        <v>540</v>
      </c>
      <c r="N26" s="10"/>
      <c r="O26" s="3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9" t="s">
        <v>71</v>
      </c>
      <c r="B27" s="61" t="s">
        <v>20</v>
      </c>
      <c r="C27" s="47" t="s">
        <v>214</v>
      </c>
      <c r="D27" s="50">
        <v>0.0</v>
      </c>
      <c r="E27" s="23">
        <v>10.0</v>
      </c>
      <c r="F27" s="23">
        <v>160.0</v>
      </c>
      <c r="G27" s="50">
        <v>0.0</v>
      </c>
      <c r="H27" s="23">
        <v>10.0</v>
      </c>
      <c r="I27" s="23">
        <v>160.0</v>
      </c>
      <c r="J27" s="50">
        <v>0.0</v>
      </c>
      <c r="K27" s="23">
        <v>10.0</v>
      </c>
      <c r="L27" s="23">
        <v>160.0</v>
      </c>
      <c r="M27" s="11">
        <f t="shared" si="3"/>
        <v>4800</v>
      </c>
      <c r="N27" s="51"/>
      <c r="O27" s="3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6" t="s">
        <v>48</v>
      </c>
      <c r="B28" s="61" t="s">
        <v>20</v>
      </c>
      <c r="C28" s="47" t="s">
        <v>201</v>
      </c>
      <c r="D28" s="48">
        <v>1.0</v>
      </c>
      <c r="E28" s="19">
        <v>12.0</v>
      </c>
      <c r="F28" s="19">
        <v>57.5</v>
      </c>
      <c r="G28" s="48">
        <v>0.0</v>
      </c>
      <c r="H28" s="19">
        <v>12.0</v>
      </c>
      <c r="I28" s="19">
        <v>57.5</v>
      </c>
      <c r="J28" s="48">
        <v>0.0</v>
      </c>
      <c r="K28" s="19">
        <v>12.0</v>
      </c>
      <c r="L28" s="19">
        <v>57.5</v>
      </c>
      <c r="M28" s="11">
        <f t="shared" si="3"/>
        <v>2070</v>
      </c>
      <c r="N28" s="51"/>
      <c r="O28" s="3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9" t="s">
        <v>72</v>
      </c>
      <c r="B29" s="61" t="s">
        <v>20</v>
      </c>
      <c r="C29" s="47" t="s">
        <v>231</v>
      </c>
      <c r="D29" s="50">
        <v>1.0</v>
      </c>
      <c r="E29" s="23">
        <v>12.0</v>
      </c>
      <c r="F29" s="23">
        <v>42.5</v>
      </c>
      <c r="G29" s="50">
        <v>1.0</v>
      </c>
      <c r="H29" s="23">
        <v>12.0</v>
      </c>
      <c r="I29" s="23">
        <v>42.5</v>
      </c>
      <c r="J29" s="50">
        <v>0.0</v>
      </c>
      <c r="K29" s="23">
        <v>12.0</v>
      </c>
      <c r="L29" s="23">
        <v>42.5</v>
      </c>
      <c r="M29" s="11">
        <f t="shared" si="3"/>
        <v>1530</v>
      </c>
      <c r="N29" s="51"/>
      <c r="O29" s="3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6" t="s">
        <v>73</v>
      </c>
      <c r="B30" s="61" t="s">
        <v>20</v>
      </c>
      <c r="C30" s="47" t="s">
        <v>202</v>
      </c>
      <c r="D30" s="48">
        <v>0.0</v>
      </c>
      <c r="E30" s="19">
        <v>12.0</v>
      </c>
      <c r="F30" s="19">
        <v>35.0</v>
      </c>
      <c r="G30" s="48">
        <v>0.0</v>
      </c>
      <c r="H30" s="19">
        <v>12.0</v>
      </c>
      <c r="I30" s="19">
        <v>35.0</v>
      </c>
      <c r="J30" s="48">
        <v>0.0</v>
      </c>
      <c r="K30" s="19">
        <v>12.0</v>
      </c>
      <c r="L30" s="19">
        <v>35.0</v>
      </c>
      <c r="M30" s="11">
        <f t="shared" si="3"/>
        <v>1260</v>
      </c>
      <c r="N30" s="10"/>
      <c r="O30" s="3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9" t="s">
        <v>74</v>
      </c>
      <c r="B31" s="61" t="s">
        <v>20</v>
      </c>
      <c r="C31" s="47" t="s">
        <v>203</v>
      </c>
      <c r="D31" s="50">
        <v>0.0</v>
      </c>
      <c r="E31" s="23">
        <v>18.0</v>
      </c>
      <c r="F31" s="23">
        <v>100.0</v>
      </c>
      <c r="G31" s="50">
        <v>0.0</v>
      </c>
      <c r="H31" s="23">
        <v>18.0</v>
      </c>
      <c r="I31" s="23">
        <v>100.0</v>
      </c>
      <c r="J31" s="50">
        <v>0.0</v>
      </c>
      <c r="K31" s="23">
        <v>18.0</v>
      </c>
      <c r="L31" s="23">
        <v>100.0</v>
      </c>
      <c r="M31" s="11">
        <f t="shared" si="3"/>
        <v>5400</v>
      </c>
      <c r="N31" s="51"/>
      <c r="O31" s="3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6" t="s">
        <v>75</v>
      </c>
      <c r="B32" s="61" t="s">
        <v>20</v>
      </c>
      <c r="C32" s="47" t="s">
        <v>248</v>
      </c>
      <c r="D32" s="48">
        <v>0.0</v>
      </c>
      <c r="E32" s="19">
        <v>13.0</v>
      </c>
      <c r="F32" s="19">
        <v>50.0</v>
      </c>
      <c r="G32" s="48">
        <v>0.0</v>
      </c>
      <c r="H32" s="19">
        <v>13.0</v>
      </c>
      <c r="I32" s="19">
        <v>50.0</v>
      </c>
      <c r="J32" s="48">
        <v>0.0</v>
      </c>
      <c r="K32" s="19">
        <v>13.0</v>
      </c>
      <c r="L32" s="19">
        <v>50.0</v>
      </c>
      <c r="M32" s="11">
        <f t="shared" si="3"/>
        <v>1950</v>
      </c>
      <c r="N32" s="92" t="s">
        <v>254</v>
      </c>
      <c r="O32" s="3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2" t="s">
        <v>209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11">
        <f>SUM(M26,M27,M28,M29,M30,M31,M32)</f>
        <v>17550</v>
      </c>
      <c r="N33" s="63"/>
      <c r="O33" s="6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4" t="s">
        <v>210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6" t="s">
        <v>70</v>
      </c>
      <c r="B36" s="65" t="s">
        <v>21</v>
      </c>
      <c r="C36" s="47" t="s">
        <v>200</v>
      </c>
      <c r="D36" s="48">
        <v>1.0</v>
      </c>
      <c r="E36" s="19">
        <v>12.0</v>
      </c>
      <c r="F36" s="19">
        <v>15.0</v>
      </c>
      <c r="G36" s="48">
        <v>1.0</v>
      </c>
      <c r="H36" s="31">
        <v>12.0</v>
      </c>
      <c r="I36" s="31">
        <v>15.0</v>
      </c>
      <c r="J36" s="48">
        <v>1.0</v>
      </c>
      <c r="K36" s="31">
        <v>12.0</v>
      </c>
      <c r="L36" s="31">
        <v>15.0</v>
      </c>
      <c r="M36" s="11">
        <f t="shared" ref="M36:M42" si="4">IFERROR(IFERROR(E36*F36,0)+IFERROR(H36*I36,0)+IFERROR(K36*L36,0),0)</f>
        <v>540</v>
      </c>
      <c r="N36" s="10"/>
      <c r="O36" s="3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9" t="s">
        <v>71</v>
      </c>
      <c r="B37" s="65" t="s">
        <v>21</v>
      </c>
      <c r="C37" s="47" t="s">
        <v>214</v>
      </c>
      <c r="D37" s="50">
        <v>0.0</v>
      </c>
      <c r="E37" s="39">
        <v>12.0</v>
      </c>
      <c r="F37" s="39">
        <v>165.0</v>
      </c>
      <c r="G37" s="50">
        <v>0.0</v>
      </c>
      <c r="H37" s="39">
        <v>10.0</v>
      </c>
      <c r="I37" s="39">
        <v>185.0</v>
      </c>
      <c r="J37" s="50">
        <v>0.0</v>
      </c>
      <c r="K37" s="39">
        <v>8.0</v>
      </c>
      <c r="L37" s="39">
        <v>185.0</v>
      </c>
      <c r="M37" s="11">
        <f t="shared" si="4"/>
        <v>5310</v>
      </c>
      <c r="N37" s="92" t="s">
        <v>255</v>
      </c>
      <c r="O37" s="3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6" t="s">
        <v>48</v>
      </c>
      <c r="B38" s="65" t="s">
        <v>21</v>
      </c>
      <c r="C38" s="47" t="s">
        <v>201</v>
      </c>
      <c r="D38" s="48">
        <v>1.0</v>
      </c>
      <c r="E38" s="19">
        <v>12.0</v>
      </c>
      <c r="F38" s="19">
        <v>57.5</v>
      </c>
      <c r="G38" s="48">
        <v>0.0</v>
      </c>
      <c r="H38" s="19">
        <v>12.0</v>
      </c>
      <c r="I38" s="19">
        <v>57.5</v>
      </c>
      <c r="J38" s="48">
        <v>0.0</v>
      </c>
      <c r="K38" s="19">
        <v>12.0</v>
      </c>
      <c r="L38" s="19">
        <v>57.5</v>
      </c>
      <c r="M38" s="11">
        <f t="shared" si="4"/>
        <v>2070</v>
      </c>
      <c r="N38" s="51"/>
      <c r="O38" s="3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9" t="s">
        <v>72</v>
      </c>
      <c r="B39" s="65" t="s">
        <v>21</v>
      </c>
      <c r="C39" s="47" t="s">
        <v>231</v>
      </c>
      <c r="D39" s="50">
        <v>1.0</v>
      </c>
      <c r="E39" s="23">
        <v>12.0</v>
      </c>
      <c r="F39" s="23">
        <v>42.5</v>
      </c>
      <c r="G39" s="50">
        <v>1.0</v>
      </c>
      <c r="H39" s="23">
        <v>12.0</v>
      </c>
      <c r="I39" s="39">
        <v>50.0</v>
      </c>
      <c r="J39" s="50">
        <v>0.0</v>
      </c>
      <c r="K39" s="23">
        <v>12.0</v>
      </c>
      <c r="L39" s="39">
        <v>50.0</v>
      </c>
      <c r="M39" s="11">
        <f t="shared" si="4"/>
        <v>1710</v>
      </c>
      <c r="N39" s="51"/>
      <c r="O39" s="3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6" t="s">
        <v>73</v>
      </c>
      <c r="B40" s="65" t="s">
        <v>21</v>
      </c>
      <c r="C40" s="47" t="s">
        <v>202</v>
      </c>
      <c r="D40" s="48">
        <v>0.0</v>
      </c>
      <c r="E40" s="38">
        <v>12.0</v>
      </c>
      <c r="F40" s="38">
        <v>42.5</v>
      </c>
      <c r="G40" s="48">
        <v>0.0</v>
      </c>
      <c r="H40" s="38">
        <v>12.0</v>
      </c>
      <c r="I40" s="38">
        <v>42.5</v>
      </c>
      <c r="J40" s="48">
        <v>0.0</v>
      </c>
      <c r="K40" s="38">
        <v>12.0</v>
      </c>
      <c r="L40" s="38">
        <v>42.5</v>
      </c>
      <c r="M40" s="11">
        <f t="shared" si="4"/>
        <v>1530</v>
      </c>
      <c r="N40" s="10"/>
      <c r="O40" s="3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9" t="s">
        <v>74</v>
      </c>
      <c r="B41" s="65" t="s">
        <v>21</v>
      </c>
      <c r="C41" s="47" t="s">
        <v>203</v>
      </c>
      <c r="D41" s="50">
        <v>0.0</v>
      </c>
      <c r="E41" s="23">
        <v>18.0</v>
      </c>
      <c r="F41" s="23">
        <v>100.0</v>
      </c>
      <c r="G41" s="50">
        <v>0.0</v>
      </c>
      <c r="H41" s="23">
        <v>18.0</v>
      </c>
      <c r="I41" s="23">
        <v>100.0</v>
      </c>
      <c r="J41" s="50">
        <v>0.0</v>
      </c>
      <c r="K41" s="23">
        <v>18.0</v>
      </c>
      <c r="L41" s="23">
        <v>100.0</v>
      </c>
      <c r="M41" s="11">
        <f t="shared" si="4"/>
        <v>5400</v>
      </c>
      <c r="N41" s="51"/>
      <c r="O41" s="3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6" t="s">
        <v>75</v>
      </c>
      <c r="B42" s="65" t="s">
        <v>21</v>
      </c>
      <c r="C42" s="47" t="s">
        <v>248</v>
      </c>
      <c r="D42" s="48">
        <v>0.0</v>
      </c>
      <c r="E42" s="19">
        <v>13.0</v>
      </c>
      <c r="F42" s="19">
        <v>50.0</v>
      </c>
      <c r="G42" s="48">
        <v>0.0</v>
      </c>
      <c r="H42" s="19">
        <v>13.0</v>
      </c>
      <c r="I42" s="19">
        <v>50.0</v>
      </c>
      <c r="J42" s="48">
        <v>0.0</v>
      </c>
      <c r="K42" s="19">
        <v>13.0</v>
      </c>
      <c r="L42" s="19">
        <v>50.0</v>
      </c>
      <c r="M42" s="11">
        <f t="shared" si="4"/>
        <v>1950</v>
      </c>
      <c r="N42" s="92" t="s">
        <v>254</v>
      </c>
      <c r="O42" s="3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6" t="s">
        <v>211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11">
        <f>SUM(M36,M37,M38,M39,M40,M41,M42)</f>
        <v>18510</v>
      </c>
      <c r="N43" s="67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8" t="s">
        <v>212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6" t="s">
        <v>70</v>
      </c>
      <c r="B46" s="69" t="s">
        <v>22</v>
      </c>
      <c r="C46" s="47" t="s">
        <v>200</v>
      </c>
      <c r="D46" s="48">
        <v>1.0</v>
      </c>
      <c r="E46" s="19"/>
      <c r="F46" s="19"/>
      <c r="G46" s="48">
        <v>1.0</v>
      </c>
      <c r="H46" s="19"/>
      <c r="I46" s="19"/>
      <c r="J46" s="48">
        <v>1.0</v>
      </c>
      <c r="K46" s="19"/>
      <c r="L46" s="19"/>
      <c r="M46" s="11">
        <f t="shared" ref="M46:M52" si="5">IFERROR(IFERROR(E46*F46,0)+IFERROR(H46*I46,0)+IFERROR(K46*L46,0),0)</f>
        <v>0</v>
      </c>
      <c r="N46" s="10"/>
      <c r="O46" s="32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9" t="s">
        <v>71</v>
      </c>
      <c r="B47" s="69" t="s">
        <v>22</v>
      </c>
      <c r="C47" s="47" t="s">
        <v>214</v>
      </c>
      <c r="D47" s="50">
        <v>0.0</v>
      </c>
      <c r="E47" s="23"/>
      <c r="F47" s="23"/>
      <c r="G47" s="50">
        <v>0.0</v>
      </c>
      <c r="H47" s="23"/>
      <c r="I47" s="23"/>
      <c r="J47" s="50">
        <v>0.0</v>
      </c>
      <c r="K47" s="23"/>
      <c r="L47" s="23"/>
      <c r="M47" s="11">
        <f t="shared" si="5"/>
        <v>0</v>
      </c>
      <c r="N47" s="51"/>
      <c r="O47" s="3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6" t="s">
        <v>48</v>
      </c>
      <c r="B48" s="69" t="s">
        <v>22</v>
      </c>
      <c r="C48" s="47" t="s">
        <v>201</v>
      </c>
      <c r="D48" s="48">
        <v>1.0</v>
      </c>
      <c r="E48" s="19"/>
      <c r="F48" s="19"/>
      <c r="G48" s="48">
        <v>0.0</v>
      </c>
      <c r="H48" s="19"/>
      <c r="I48" s="19"/>
      <c r="J48" s="48">
        <v>0.0</v>
      </c>
      <c r="K48" s="19"/>
      <c r="L48" s="19"/>
      <c r="M48" s="11">
        <f t="shared" si="5"/>
        <v>0</v>
      </c>
      <c r="N48" s="51"/>
      <c r="O48" s="32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9" t="s">
        <v>72</v>
      </c>
      <c r="B49" s="69" t="s">
        <v>22</v>
      </c>
      <c r="C49" s="47" t="s">
        <v>231</v>
      </c>
      <c r="D49" s="50">
        <v>1.0</v>
      </c>
      <c r="E49" s="23"/>
      <c r="F49" s="23"/>
      <c r="G49" s="50">
        <v>1.0</v>
      </c>
      <c r="H49" s="23"/>
      <c r="I49" s="23"/>
      <c r="J49" s="50">
        <v>0.0</v>
      </c>
      <c r="K49" s="23"/>
      <c r="L49" s="23"/>
      <c r="M49" s="11">
        <f t="shared" si="5"/>
        <v>0</v>
      </c>
      <c r="N49" s="51"/>
      <c r="O49" s="3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6" t="s">
        <v>73</v>
      </c>
      <c r="B50" s="69" t="s">
        <v>22</v>
      </c>
      <c r="C50" s="47" t="s">
        <v>202</v>
      </c>
      <c r="D50" s="48">
        <v>0.0</v>
      </c>
      <c r="E50" s="19"/>
      <c r="F50" s="19"/>
      <c r="G50" s="48">
        <v>0.0</v>
      </c>
      <c r="H50" s="19"/>
      <c r="I50" s="19"/>
      <c r="J50" s="48">
        <v>0.0</v>
      </c>
      <c r="K50" s="19"/>
      <c r="L50" s="19"/>
      <c r="M50" s="11">
        <f t="shared" si="5"/>
        <v>0</v>
      </c>
      <c r="N50" s="10"/>
      <c r="O50" s="32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9" t="s">
        <v>74</v>
      </c>
      <c r="B51" s="69" t="s">
        <v>22</v>
      </c>
      <c r="C51" s="47" t="s">
        <v>203</v>
      </c>
      <c r="D51" s="50">
        <v>0.0</v>
      </c>
      <c r="E51" s="23"/>
      <c r="F51" s="23"/>
      <c r="G51" s="50">
        <v>0.0</v>
      </c>
      <c r="H51" s="23"/>
      <c r="I51" s="23"/>
      <c r="J51" s="50">
        <v>0.0</v>
      </c>
      <c r="K51" s="23"/>
      <c r="L51" s="23"/>
      <c r="M51" s="11">
        <f t="shared" si="5"/>
        <v>0</v>
      </c>
      <c r="N51" s="51"/>
      <c r="O51" s="3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6" t="s">
        <v>75</v>
      </c>
      <c r="B52" s="69" t="s">
        <v>22</v>
      </c>
      <c r="C52" s="47" t="s">
        <v>248</v>
      </c>
      <c r="D52" s="48">
        <v>0.0</v>
      </c>
      <c r="E52" s="19"/>
      <c r="F52" s="19"/>
      <c r="G52" s="48">
        <v>0.0</v>
      </c>
      <c r="H52" s="19"/>
      <c r="I52" s="19"/>
      <c r="J52" s="48">
        <v>0.0</v>
      </c>
      <c r="K52" s="19"/>
      <c r="L52" s="19"/>
      <c r="M52" s="11">
        <f t="shared" si="5"/>
        <v>0</v>
      </c>
      <c r="N52" s="51"/>
      <c r="O52" s="32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72" t="s">
        <v>216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11">
        <f>SUM(M46,M47,M48,M49,M50,M51,M52)</f>
        <v>0</v>
      </c>
      <c r="N53" s="73"/>
      <c r="O53" s="7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74" t="s">
        <v>217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6" t="s">
        <v>70</v>
      </c>
      <c r="B56" s="75" t="s">
        <v>23</v>
      </c>
      <c r="C56" s="47" t="s">
        <v>200</v>
      </c>
      <c r="D56" s="48">
        <v>1.0</v>
      </c>
      <c r="E56" s="19"/>
      <c r="F56" s="19"/>
      <c r="G56" s="48">
        <v>1.0</v>
      </c>
      <c r="H56" s="19"/>
      <c r="I56" s="19"/>
      <c r="J56" s="48">
        <v>1.0</v>
      </c>
      <c r="K56" s="19"/>
      <c r="L56" s="19"/>
      <c r="M56" s="11">
        <f t="shared" ref="M56:M62" si="6">IFERROR(IFERROR(E56*F56,0)+IFERROR(H56*I56,0)+IFERROR(K56*L56,0),0)</f>
        <v>0</v>
      </c>
      <c r="N56" s="10"/>
      <c r="O56" s="32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9" t="s">
        <v>71</v>
      </c>
      <c r="B57" s="75" t="s">
        <v>23</v>
      </c>
      <c r="C57" s="47" t="s">
        <v>214</v>
      </c>
      <c r="D57" s="50">
        <v>0.0</v>
      </c>
      <c r="E57" s="23"/>
      <c r="F57" s="23"/>
      <c r="G57" s="50">
        <v>0.0</v>
      </c>
      <c r="H57" s="23"/>
      <c r="I57" s="23"/>
      <c r="J57" s="50">
        <v>0.0</v>
      </c>
      <c r="K57" s="23"/>
      <c r="L57" s="23"/>
      <c r="M57" s="11">
        <f t="shared" si="6"/>
        <v>0</v>
      </c>
      <c r="N57" s="51"/>
      <c r="O57" s="3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6" t="s">
        <v>48</v>
      </c>
      <c r="B58" s="75" t="s">
        <v>23</v>
      </c>
      <c r="C58" s="47" t="s">
        <v>201</v>
      </c>
      <c r="D58" s="48">
        <v>1.0</v>
      </c>
      <c r="E58" s="19"/>
      <c r="F58" s="19"/>
      <c r="G58" s="48">
        <v>0.0</v>
      </c>
      <c r="H58" s="19"/>
      <c r="I58" s="19"/>
      <c r="J58" s="48">
        <v>0.0</v>
      </c>
      <c r="K58" s="19"/>
      <c r="L58" s="19"/>
      <c r="M58" s="11">
        <f t="shared" si="6"/>
        <v>0</v>
      </c>
      <c r="N58" s="51"/>
      <c r="O58" s="3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9" t="s">
        <v>72</v>
      </c>
      <c r="B59" s="75" t="s">
        <v>23</v>
      </c>
      <c r="C59" s="47" t="s">
        <v>231</v>
      </c>
      <c r="D59" s="50">
        <v>1.0</v>
      </c>
      <c r="E59" s="23"/>
      <c r="F59" s="23"/>
      <c r="G59" s="50">
        <v>1.0</v>
      </c>
      <c r="H59" s="23"/>
      <c r="I59" s="23"/>
      <c r="J59" s="50">
        <v>0.0</v>
      </c>
      <c r="K59" s="23"/>
      <c r="L59" s="23"/>
      <c r="M59" s="11">
        <f t="shared" si="6"/>
        <v>0</v>
      </c>
      <c r="N59" s="51"/>
      <c r="O59" s="3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6" t="s">
        <v>73</v>
      </c>
      <c r="B60" s="75" t="s">
        <v>23</v>
      </c>
      <c r="C60" s="47" t="s">
        <v>202</v>
      </c>
      <c r="D60" s="48">
        <v>0.0</v>
      </c>
      <c r="E60" s="19"/>
      <c r="F60" s="19"/>
      <c r="G60" s="48">
        <v>0.0</v>
      </c>
      <c r="H60" s="19"/>
      <c r="I60" s="19"/>
      <c r="J60" s="48">
        <v>0.0</v>
      </c>
      <c r="K60" s="19"/>
      <c r="L60" s="19"/>
      <c r="M60" s="11">
        <f t="shared" si="6"/>
        <v>0</v>
      </c>
      <c r="N60" s="10"/>
      <c r="O60" s="3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9" t="s">
        <v>74</v>
      </c>
      <c r="B61" s="75" t="s">
        <v>23</v>
      </c>
      <c r="C61" s="47" t="s">
        <v>203</v>
      </c>
      <c r="D61" s="50">
        <v>0.0</v>
      </c>
      <c r="E61" s="23"/>
      <c r="F61" s="23"/>
      <c r="G61" s="50">
        <v>0.0</v>
      </c>
      <c r="H61" s="23"/>
      <c r="I61" s="23"/>
      <c r="J61" s="50">
        <v>0.0</v>
      </c>
      <c r="K61" s="23"/>
      <c r="L61" s="23"/>
      <c r="M61" s="11">
        <f t="shared" si="6"/>
        <v>0</v>
      </c>
      <c r="N61" s="51"/>
      <c r="O61" s="3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6" t="s">
        <v>75</v>
      </c>
      <c r="B62" s="75" t="s">
        <v>23</v>
      </c>
      <c r="C62" s="47" t="s">
        <v>248</v>
      </c>
      <c r="D62" s="48">
        <v>0.0</v>
      </c>
      <c r="E62" s="19"/>
      <c r="F62" s="19"/>
      <c r="G62" s="48">
        <v>0.0</v>
      </c>
      <c r="H62" s="19"/>
      <c r="I62" s="19"/>
      <c r="J62" s="48">
        <v>0.0</v>
      </c>
      <c r="K62" s="19"/>
      <c r="L62" s="19"/>
      <c r="M62" s="11">
        <f t="shared" si="6"/>
        <v>0</v>
      </c>
      <c r="N62" s="51"/>
      <c r="O62" s="3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76" t="s">
        <v>218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11">
        <f>SUM(M56,M57,M58,M59,M60,M61,M62)</f>
        <v>0</v>
      </c>
      <c r="N63" s="77"/>
      <c r="O63" s="7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78" t="s">
        <v>219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6" t="s">
        <v>70</v>
      </c>
      <c r="B66" s="79" t="s">
        <v>24</v>
      </c>
      <c r="C66" s="47" t="s">
        <v>200</v>
      </c>
      <c r="D66" s="48">
        <v>1.0</v>
      </c>
      <c r="E66" s="19"/>
      <c r="F66" s="19"/>
      <c r="G66" s="48">
        <v>1.0</v>
      </c>
      <c r="H66" s="19"/>
      <c r="I66" s="19"/>
      <c r="J66" s="48">
        <v>1.0</v>
      </c>
      <c r="K66" s="19"/>
      <c r="L66" s="19"/>
      <c r="M66" s="11">
        <f t="shared" ref="M66:M72" si="7">IFERROR(IFERROR(E66*F66,0)+IFERROR(H66*I66,0)+IFERROR(K66*L66,0),0)</f>
        <v>0</v>
      </c>
      <c r="N66" s="10"/>
      <c r="O66" s="3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9" t="s">
        <v>71</v>
      </c>
      <c r="B67" s="79" t="s">
        <v>24</v>
      </c>
      <c r="C67" s="47" t="s">
        <v>214</v>
      </c>
      <c r="D67" s="50">
        <v>0.0</v>
      </c>
      <c r="E67" s="23"/>
      <c r="F67" s="23"/>
      <c r="G67" s="50">
        <v>0.0</v>
      </c>
      <c r="H67" s="23"/>
      <c r="I67" s="23"/>
      <c r="J67" s="50">
        <v>0.0</v>
      </c>
      <c r="K67" s="23"/>
      <c r="L67" s="23"/>
      <c r="M67" s="11">
        <f t="shared" si="7"/>
        <v>0</v>
      </c>
      <c r="N67" s="51"/>
      <c r="O67" s="3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6" t="s">
        <v>48</v>
      </c>
      <c r="B68" s="79" t="s">
        <v>24</v>
      </c>
      <c r="C68" s="47" t="s">
        <v>201</v>
      </c>
      <c r="D68" s="48">
        <v>1.0</v>
      </c>
      <c r="E68" s="19"/>
      <c r="F68" s="19"/>
      <c r="G68" s="48">
        <v>0.0</v>
      </c>
      <c r="H68" s="19"/>
      <c r="I68" s="19"/>
      <c r="J68" s="48">
        <v>0.0</v>
      </c>
      <c r="K68" s="19"/>
      <c r="L68" s="19"/>
      <c r="M68" s="11">
        <f t="shared" si="7"/>
        <v>0</v>
      </c>
      <c r="N68" s="51"/>
      <c r="O68" s="3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9" t="s">
        <v>72</v>
      </c>
      <c r="B69" s="79" t="s">
        <v>24</v>
      </c>
      <c r="C69" s="47" t="s">
        <v>231</v>
      </c>
      <c r="D69" s="50">
        <v>1.0</v>
      </c>
      <c r="E69" s="23"/>
      <c r="F69" s="23"/>
      <c r="G69" s="50">
        <v>1.0</v>
      </c>
      <c r="H69" s="23"/>
      <c r="I69" s="23"/>
      <c r="J69" s="50">
        <v>0.0</v>
      </c>
      <c r="K69" s="23"/>
      <c r="L69" s="23"/>
      <c r="M69" s="11">
        <f t="shared" si="7"/>
        <v>0</v>
      </c>
      <c r="N69" s="51"/>
      <c r="O69" s="3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6" t="s">
        <v>73</v>
      </c>
      <c r="B70" s="79" t="s">
        <v>24</v>
      </c>
      <c r="C70" s="47" t="s">
        <v>202</v>
      </c>
      <c r="D70" s="48">
        <v>0.0</v>
      </c>
      <c r="E70" s="19"/>
      <c r="F70" s="19"/>
      <c r="G70" s="48">
        <v>0.0</v>
      </c>
      <c r="H70" s="19"/>
      <c r="I70" s="19"/>
      <c r="J70" s="48">
        <v>0.0</v>
      </c>
      <c r="K70" s="19"/>
      <c r="L70" s="19"/>
      <c r="M70" s="11">
        <f t="shared" si="7"/>
        <v>0</v>
      </c>
      <c r="N70" s="10"/>
      <c r="O70" s="3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9" t="s">
        <v>74</v>
      </c>
      <c r="B71" s="79" t="s">
        <v>24</v>
      </c>
      <c r="C71" s="47" t="s">
        <v>203</v>
      </c>
      <c r="D71" s="50">
        <v>0.0</v>
      </c>
      <c r="E71" s="23"/>
      <c r="F71" s="23"/>
      <c r="G71" s="50">
        <v>0.0</v>
      </c>
      <c r="H71" s="23"/>
      <c r="I71" s="23"/>
      <c r="J71" s="50">
        <v>0.0</v>
      </c>
      <c r="K71" s="23"/>
      <c r="L71" s="23"/>
      <c r="M71" s="11">
        <f t="shared" si="7"/>
        <v>0</v>
      </c>
      <c r="N71" s="51"/>
      <c r="O71" s="3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6" t="s">
        <v>75</v>
      </c>
      <c r="B72" s="79" t="s">
        <v>24</v>
      </c>
      <c r="C72" s="47" t="s">
        <v>248</v>
      </c>
      <c r="D72" s="48">
        <v>0.0</v>
      </c>
      <c r="E72" s="19"/>
      <c r="F72" s="19"/>
      <c r="G72" s="48">
        <v>0.0</v>
      </c>
      <c r="H72" s="19"/>
      <c r="I72" s="19"/>
      <c r="J72" s="48">
        <v>0.0</v>
      </c>
      <c r="K72" s="19"/>
      <c r="L72" s="19"/>
      <c r="M72" s="11">
        <f t="shared" si="7"/>
        <v>0</v>
      </c>
      <c r="N72" s="51"/>
      <c r="O72" s="3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80" t="s">
        <v>220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11">
        <f>SUM(M66,M67,M68,M69,M70,M71,M72)</f>
        <v>0</v>
      </c>
      <c r="N73" s="82"/>
      <c r="O73" s="8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83" t="s">
        <v>221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6" t="s">
        <v>70</v>
      </c>
      <c r="B76" s="84" t="s">
        <v>25</v>
      </c>
      <c r="C76" s="47" t="s">
        <v>200</v>
      </c>
      <c r="D76" s="48">
        <v>1.0</v>
      </c>
      <c r="E76" s="19"/>
      <c r="F76" s="19"/>
      <c r="G76" s="48">
        <v>1.0</v>
      </c>
      <c r="H76" s="19"/>
      <c r="I76" s="19"/>
      <c r="J76" s="48">
        <v>1.0</v>
      </c>
      <c r="K76" s="19"/>
      <c r="L76" s="19"/>
      <c r="M76" s="11">
        <f t="shared" ref="M76:M82" si="8">IFERROR(IFERROR(E76*F76,0)+IFERROR(H76*I76,0)+IFERROR(K76*L76,0),0)</f>
        <v>0</v>
      </c>
      <c r="N76" s="10"/>
      <c r="O76" s="3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9" t="s">
        <v>71</v>
      </c>
      <c r="B77" s="84" t="s">
        <v>25</v>
      </c>
      <c r="C77" s="47" t="s">
        <v>214</v>
      </c>
      <c r="D77" s="50">
        <v>0.0</v>
      </c>
      <c r="E77" s="23"/>
      <c r="F77" s="23"/>
      <c r="G77" s="50">
        <v>0.0</v>
      </c>
      <c r="H77" s="23"/>
      <c r="I77" s="23"/>
      <c r="J77" s="50">
        <v>0.0</v>
      </c>
      <c r="K77" s="23"/>
      <c r="L77" s="23"/>
      <c r="M77" s="11">
        <f t="shared" si="8"/>
        <v>0</v>
      </c>
      <c r="N77" s="51"/>
      <c r="O77" s="3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6" t="s">
        <v>48</v>
      </c>
      <c r="B78" s="84" t="s">
        <v>25</v>
      </c>
      <c r="C78" s="47" t="s">
        <v>201</v>
      </c>
      <c r="D78" s="48">
        <v>1.0</v>
      </c>
      <c r="E78" s="19"/>
      <c r="F78" s="19"/>
      <c r="G78" s="48">
        <v>0.0</v>
      </c>
      <c r="H78" s="19"/>
      <c r="I78" s="19"/>
      <c r="J78" s="48">
        <v>0.0</v>
      </c>
      <c r="K78" s="19"/>
      <c r="L78" s="19"/>
      <c r="M78" s="11">
        <f t="shared" si="8"/>
        <v>0</v>
      </c>
      <c r="N78" s="51"/>
      <c r="O78" s="32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9" t="s">
        <v>72</v>
      </c>
      <c r="B79" s="84" t="s">
        <v>25</v>
      </c>
      <c r="C79" s="47" t="s">
        <v>231</v>
      </c>
      <c r="D79" s="50">
        <v>1.0</v>
      </c>
      <c r="E79" s="23"/>
      <c r="F79" s="23"/>
      <c r="G79" s="50">
        <v>1.0</v>
      </c>
      <c r="H79" s="23"/>
      <c r="I79" s="23"/>
      <c r="J79" s="50">
        <v>0.0</v>
      </c>
      <c r="K79" s="23"/>
      <c r="L79" s="23"/>
      <c r="M79" s="11">
        <f t="shared" si="8"/>
        <v>0</v>
      </c>
      <c r="N79" s="51"/>
      <c r="O79" s="3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6" t="s">
        <v>73</v>
      </c>
      <c r="B80" s="84" t="s">
        <v>25</v>
      </c>
      <c r="C80" s="47" t="s">
        <v>202</v>
      </c>
      <c r="D80" s="48">
        <v>0.0</v>
      </c>
      <c r="E80" s="19"/>
      <c r="F80" s="19"/>
      <c r="G80" s="48">
        <v>0.0</v>
      </c>
      <c r="H80" s="19"/>
      <c r="I80" s="19"/>
      <c r="J80" s="48">
        <v>0.0</v>
      </c>
      <c r="K80" s="19"/>
      <c r="L80" s="19"/>
      <c r="M80" s="11">
        <f t="shared" si="8"/>
        <v>0</v>
      </c>
      <c r="N80" s="10"/>
      <c r="O80" s="32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9" t="s">
        <v>74</v>
      </c>
      <c r="B81" s="84" t="s">
        <v>25</v>
      </c>
      <c r="C81" s="47" t="s">
        <v>203</v>
      </c>
      <c r="D81" s="50">
        <v>0.0</v>
      </c>
      <c r="E81" s="23"/>
      <c r="F81" s="23"/>
      <c r="G81" s="50">
        <v>0.0</v>
      </c>
      <c r="H81" s="23"/>
      <c r="I81" s="23"/>
      <c r="J81" s="50">
        <v>0.0</v>
      </c>
      <c r="K81" s="23"/>
      <c r="L81" s="23"/>
      <c r="M81" s="11">
        <f t="shared" si="8"/>
        <v>0</v>
      </c>
      <c r="N81" s="51"/>
      <c r="O81" s="3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6" t="s">
        <v>75</v>
      </c>
      <c r="B82" s="84" t="s">
        <v>25</v>
      </c>
      <c r="C82" s="47" t="s">
        <v>248</v>
      </c>
      <c r="D82" s="48">
        <v>0.0</v>
      </c>
      <c r="E82" s="19"/>
      <c r="F82" s="19"/>
      <c r="G82" s="48">
        <v>0.0</v>
      </c>
      <c r="H82" s="19"/>
      <c r="I82" s="19"/>
      <c r="J82" s="48">
        <v>0.0</v>
      </c>
      <c r="K82" s="19"/>
      <c r="L82" s="19"/>
      <c r="M82" s="11">
        <f t="shared" si="8"/>
        <v>0</v>
      </c>
      <c r="N82" s="51"/>
      <c r="O82" s="32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85" t="s">
        <v>222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11">
        <f>SUM(M76,M77,M78,M79,M80,M81,M82)</f>
        <v>0</v>
      </c>
      <c r="N83" s="86"/>
      <c r="O83" s="8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25" t="s">
        <v>223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0.0" customHeight="1">
      <c r="A86" s="5" t="s">
        <v>224</v>
      </c>
      <c r="B86" s="2"/>
      <c r="C86" s="2"/>
      <c r="D86" s="2"/>
      <c r="E86" s="3"/>
      <c r="F86" s="5" t="s">
        <v>225</v>
      </c>
      <c r="G86" s="3"/>
      <c r="H86" s="5" t="s">
        <v>226</v>
      </c>
      <c r="I86" s="2"/>
      <c r="J86" s="3"/>
      <c r="K86" s="5" t="s">
        <v>227</v>
      </c>
      <c r="L86" s="2"/>
      <c r="M86" s="2"/>
      <c r="N86" s="2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87"/>
      <c r="B87" s="2"/>
      <c r="C87" s="2"/>
      <c r="D87" s="2"/>
      <c r="E87" s="3"/>
      <c r="F87" s="87"/>
      <c r="G87" s="3"/>
      <c r="H87" s="87"/>
      <c r="I87" s="2"/>
      <c r="J87" s="3"/>
      <c r="K87" s="87"/>
      <c r="L87" s="2"/>
      <c r="M87" s="2"/>
      <c r="N87" s="2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88"/>
      <c r="B88" s="2"/>
      <c r="C88" s="2"/>
      <c r="D88" s="2"/>
      <c r="E88" s="3"/>
      <c r="F88" s="88"/>
      <c r="G88" s="3"/>
      <c r="H88" s="88"/>
      <c r="I88" s="2"/>
      <c r="J88" s="3"/>
      <c r="K88" s="88"/>
      <c r="L88" s="2"/>
      <c r="M88" s="2"/>
      <c r="N88" s="2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87"/>
      <c r="B89" s="2"/>
      <c r="C89" s="2"/>
      <c r="D89" s="2"/>
      <c r="E89" s="3"/>
      <c r="F89" s="87"/>
      <c r="G89" s="3"/>
      <c r="H89" s="87"/>
      <c r="I89" s="2"/>
      <c r="J89" s="3"/>
      <c r="K89" s="87"/>
      <c r="L89" s="2"/>
      <c r="M89" s="2"/>
      <c r="N89" s="2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88"/>
      <c r="B90" s="2"/>
      <c r="C90" s="2"/>
      <c r="D90" s="2"/>
      <c r="E90" s="3"/>
      <c r="F90" s="88"/>
      <c r="G90" s="3"/>
      <c r="H90" s="88"/>
      <c r="I90" s="2"/>
      <c r="J90" s="3"/>
      <c r="K90" s="88"/>
      <c r="L90" s="2"/>
      <c r="M90" s="2"/>
      <c r="N90" s="2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O1"/>
    <mergeCell ref="A2:O2"/>
    <mergeCell ref="B3:E3"/>
    <mergeCell ref="F3:I3"/>
    <mergeCell ref="J3:O3"/>
    <mergeCell ref="A5:O5"/>
    <mergeCell ref="A13:L13"/>
    <mergeCell ref="A15:O15"/>
    <mergeCell ref="A23:L23"/>
    <mergeCell ref="A25:O25"/>
    <mergeCell ref="A33:L33"/>
    <mergeCell ref="A35:O35"/>
    <mergeCell ref="A43:L43"/>
    <mergeCell ref="A45:O45"/>
    <mergeCell ref="A53:L53"/>
    <mergeCell ref="A55:O55"/>
    <mergeCell ref="A63:L63"/>
    <mergeCell ref="A65:O65"/>
    <mergeCell ref="A73:L73"/>
    <mergeCell ref="A75:O75"/>
    <mergeCell ref="A83:L83"/>
    <mergeCell ref="H87:J87"/>
    <mergeCell ref="K87:O87"/>
    <mergeCell ref="A85:O85"/>
    <mergeCell ref="A86:E86"/>
    <mergeCell ref="F86:G86"/>
    <mergeCell ref="H86:J86"/>
    <mergeCell ref="K86:O86"/>
    <mergeCell ref="A87:E87"/>
    <mergeCell ref="F87:G87"/>
    <mergeCell ref="A89:E89"/>
    <mergeCell ref="A90:E90"/>
    <mergeCell ref="F90:G90"/>
    <mergeCell ref="H90:J90"/>
    <mergeCell ref="K90:O90"/>
    <mergeCell ref="A88:E88"/>
    <mergeCell ref="F88:G88"/>
    <mergeCell ref="H88:J88"/>
    <mergeCell ref="K88:O88"/>
    <mergeCell ref="F89:G89"/>
    <mergeCell ref="H89:J89"/>
    <mergeCell ref="K89:O8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.0"/>
    <col customWidth="1" min="3" max="3" width="14.43"/>
    <col customWidth="1" min="4" max="4" width="7.0"/>
    <col customWidth="1" min="5" max="6" width="9.0"/>
    <col customWidth="1" min="7" max="7" width="7.0"/>
    <col customWidth="1" min="8" max="9" width="9.0"/>
    <col customWidth="1" min="10" max="10" width="7.0"/>
    <col customWidth="1" min="11" max="12" width="9.0"/>
    <col customWidth="1" min="13" max="13" width="15.0"/>
    <col customWidth="1" min="14" max="14" width="26.0"/>
    <col customWidth="1" min="15" max="15" width="11.0"/>
  </cols>
  <sheetData>
    <row r="1" ht="33.75" customHeight="1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2" t="s">
        <v>230</v>
      </c>
      <c r="B3" s="43" t="s">
        <v>184</v>
      </c>
      <c r="C3" s="2"/>
      <c r="D3" s="2"/>
      <c r="E3" s="3"/>
      <c r="F3" s="43" t="s">
        <v>229</v>
      </c>
      <c r="G3" s="2"/>
      <c r="H3" s="2"/>
      <c r="I3" s="3"/>
      <c r="J3" s="29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5" t="s">
        <v>28</v>
      </c>
      <c r="B4" s="15" t="s">
        <v>185</v>
      </c>
      <c r="C4" s="15" t="s">
        <v>186</v>
      </c>
      <c r="D4" s="15" t="s">
        <v>187</v>
      </c>
      <c r="E4" s="44" t="s">
        <v>188</v>
      </c>
      <c r="F4" s="44" t="s">
        <v>189</v>
      </c>
      <c r="G4" s="15" t="s">
        <v>190</v>
      </c>
      <c r="H4" s="44" t="s">
        <v>191</v>
      </c>
      <c r="I4" s="44" t="s">
        <v>192</v>
      </c>
      <c r="J4" s="15" t="s">
        <v>193</v>
      </c>
      <c r="K4" s="44" t="s">
        <v>194</v>
      </c>
      <c r="L4" s="44" t="s">
        <v>245</v>
      </c>
      <c r="M4" s="15" t="s">
        <v>196</v>
      </c>
      <c r="N4" s="44" t="s">
        <v>197</v>
      </c>
      <c r="O4" s="15" t="s">
        <v>198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5" t="s">
        <v>199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46" t="s">
        <v>57</v>
      </c>
      <c r="B6" s="15" t="s">
        <v>18</v>
      </c>
      <c r="C6" s="47" t="s">
        <v>232</v>
      </c>
      <c r="D6" s="48">
        <v>1.0</v>
      </c>
      <c r="E6" s="19">
        <v>10.0</v>
      </c>
      <c r="F6" s="19">
        <v>90.0</v>
      </c>
      <c r="G6" s="48">
        <v>1.0</v>
      </c>
      <c r="H6" s="19">
        <v>12.0</v>
      </c>
      <c r="I6" s="19">
        <v>80.0</v>
      </c>
      <c r="J6" s="48">
        <v>1.0</v>
      </c>
      <c r="K6" s="19">
        <v>12.0</v>
      </c>
      <c r="L6" s="19">
        <v>80.0</v>
      </c>
      <c r="M6" s="11">
        <f t="shared" ref="M6:M11" si="1">IFERROR(IFERROR(E6*F6,0)+IFERROR(H6*I6,0)+IFERROR(K6*L6,0),0)</f>
        <v>2820</v>
      </c>
      <c r="N6" s="10"/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9" t="s">
        <v>55</v>
      </c>
      <c r="B7" s="15" t="s">
        <v>18</v>
      </c>
      <c r="C7" s="47" t="s">
        <v>257</v>
      </c>
      <c r="D7" s="50">
        <v>1.0</v>
      </c>
      <c r="E7" s="23">
        <v>12.0</v>
      </c>
      <c r="F7" s="23">
        <v>70.0</v>
      </c>
      <c r="G7" s="50">
        <v>1.0</v>
      </c>
      <c r="H7" s="23">
        <v>12.0</v>
      </c>
      <c r="I7" s="23">
        <v>70.0</v>
      </c>
      <c r="J7" s="50">
        <v>0.0</v>
      </c>
      <c r="K7" s="23">
        <v>12.0</v>
      </c>
      <c r="L7" s="23">
        <v>70.0</v>
      </c>
      <c r="M7" s="11">
        <f t="shared" si="1"/>
        <v>2520</v>
      </c>
      <c r="N7" s="51"/>
      <c r="O7" s="3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6" t="s">
        <v>77</v>
      </c>
      <c r="B8" s="15" t="s">
        <v>18</v>
      </c>
      <c r="C8" s="47" t="s">
        <v>214</v>
      </c>
      <c r="D8" s="48">
        <v>0.0</v>
      </c>
      <c r="E8" s="19">
        <v>12.0</v>
      </c>
      <c r="F8" s="19">
        <v>30.0</v>
      </c>
      <c r="G8" s="48">
        <v>0.0</v>
      </c>
      <c r="H8" s="19">
        <v>12.0</v>
      </c>
      <c r="I8" s="19">
        <v>30.0</v>
      </c>
      <c r="J8" s="48">
        <v>0.0</v>
      </c>
      <c r="K8" s="19">
        <v>10.0</v>
      </c>
      <c r="L8" s="19">
        <v>30.0</v>
      </c>
      <c r="M8" s="11">
        <f t="shared" si="1"/>
        <v>1020</v>
      </c>
      <c r="N8" s="51"/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9" t="s">
        <v>78</v>
      </c>
      <c r="B9" s="15" t="s">
        <v>18</v>
      </c>
      <c r="C9" s="47" t="s">
        <v>258</v>
      </c>
      <c r="D9" s="50">
        <v>1.0</v>
      </c>
      <c r="E9" s="23">
        <v>10.0</v>
      </c>
      <c r="F9" s="23">
        <v>12.5</v>
      </c>
      <c r="G9" s="50">
        <v>0.0</v>
      </c>
      <c r="H9" s="23">
        <v>10.0</v>
      </c>
      <c r="I9" s="23">
        <v>12.5</v>
      </c>
      <c r="J9" s="50">
        <v>0.0</v>
      </c>
      <c r="K9" s="23">
        <v>10.0</v>
      </c>
      <c r="L9" s="23">
        <v>12.5</v>
      </c>
      <c r="M9" s="11">
        <f t="shared" si="1"/>
        <v>375</v>
      </c>
      <c r="N9" s="51"/>
      <c r="O9" s="3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6" t="s">
        <v>79</v>
      </c>
      <c r="B10" s="15" t="s">
        <v>18</v>
      </c>
      <c r="C10" s="47" t="s">
        <v>248</v>
      </c>
      <c r="D10" s="48">
        <v>0.0</v>
      </c>
      <c r="E10" s="19">
        <v>10.0</v>
      </c>
      <c r="F10" s="19">
        <v>20.0</v>
      </c>
      <c r="G10" s="48">
        <v>0.0</v>
      </c>
      <c r="H10" s="19">
        <v>12.0</v>
      </c>
      <c r="I10" s="19">
        <v>15.0</v>
      </c>
      <c r="J10" s="48">
        <v>0.0</v>
      </c>
      <c r="K10" s="19">
        <v>12.0</v>
      </c>
      <c r="L10" s="19">
        <v>15.0</v>
      </c>
      <c r="M10" s="11">
        <f t="shared" si="1"/>
        <v>560</v>
      </c>
      <c r="N10" s="51"/>
      <c r="O10" s="3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9" t="s">
        <v>80</v>
      </c>
      <c r="B11" s="15" t="s">
        <v>18</v>
      </c>
      <c r="C11" s="47" t="s">
        <v>259</v>
      </c>
      <c r="D11" s="50">
        <v>0.0</v>
      </c>
      <c r="E11" s="19">
        <v>12.0</v>
      </c>
      <c r="F11" s="19">
        <v>50.0</v>
      </c>
      <c r="G11" s="50">
        <v>0.0</v>
      </c>
      <c r="H11" s="19">
        <v>12.0</v>
      </c>
      <c r="I11" s="19">
        <v>50.0</v>
      </c>
      <c r="J11" s="50">
        <v>0.0</v>
      </c>
      <c r="K11" s="19">
        <v>12.0</v>
      </c>
      <c r="L11" s="19">
        <v>50.0</v>
      </c>
      <c r="M11" s="11">
        <f t="shared" si="1"/>
        <v>1800</v>
      </c>
      <c r="N11" s="13" t="s">
        <v>260</v>
      </c>
      <c r="O11" s="3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52" t="s">
        <v>204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11">
        <f>SUM(M6,M7,M8,M9,M10,M11)</f>
        <v>9095</v>
      </c>
      <c r="N12" s="53"/>
      <c r="O12" s="5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54" t="s">
        <v>205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6" t="s">
        <v>57</v>
      </c>
      <c r="B15" s="55" t="s">
        <v>19</v>
      </c>
      <c r="C15" s="47" t="s">
        <v>232</v>
      </c>
      <c r="D15" s="48">
        <v>1.0</v>
      </c>
      <c r="E15" s="19">
        <v>12.0</v>
      </c>
      <c r="F15" s="19">
        <v>80.0</v>
      </c>
      <c r="G15" s="48">
        <v>1.0</v>
      </c>
      <c r="H15" s="19">
        <v>12.0</v>
      </c>
      <c r="I15" s="19">
        <v>70.0</v>
      </c>
      <c r="J15" s="48">
        <v>1.0</v>
      </c>
      <c r="K15" s="19">
        <v>12.0</v>
      </c>
      <c r="L15" s="19">
        <v>70.0</v>
      </c>
      <c r="M15" s="11">
        <f t="shared" ref="M15:M20" si="2">IFERROR(IFERROR(E15*F15,0)+IFERROR(H15*I15,0)+IFERROR(K15*L15,0),0)</f>
        <v>2640</v>
      </c>
      <c r="N15" s="10"/>
      <c r="O15" s="3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9" t="s">
        <v>55</v>
      </c>
      <c r="B16" s="55" t="s">
        <v>19</v>
      </c>
      <c r="C16" s="47" t="s">
        <v>257</v>
      </c>
      <c r="D16" s="50">
        <v>1.0</v>
      </c>
      <c r="E16" s="23">
        <v>12.0</v>
      </c>
      <c r="F16" s="23">
        <v>70.0</v>
      </c>
      <c r="G16" s="50">
        <v>1.0</v>
      </c>
      <c r="H16" s="23">
        <v>12.0</v>
      </c>
      <c r="I16" s="23">
        <v>70.0</v>
      </c>
      <c r="J16" s="50">
        <v>0.0</v>
      </c>
      <c r="K16" s="23">
        <v>12.0</v>
      </c>
      <c r="L16" s="23">
        <v>70.0</v>
      </c>
      <c r="M16" s="11">
        <f t="shared" si="2"/>
        <v>2520</v>
      </c>
      <c r="N16" s="51"/>
      <c r="O16" s="3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6" t="s">
        <v>77</v>
      </c>
      <c r="B17" s="55" t="s">
        <v>19</v>
      </c>
      <c r="C17" s="47" t="s">
        <v>214</v>
      </c>
      <c r="D17" s="48">
        <v>0.0</v>
      </c>
      <c r="E17" s="19">
        <v>12.0</v>
      </c>
      <c r="F17" s="19">
        <v>25.0</v>
      </c>
      <c r="G17" s="48">
        <v>0.0</v>
      </c>
      <c r="H17" s="19">
        <v>12.0</v>
      </c>
      <c r="I17" s="19">
        <v>25.0</v>
      </c>
      <c r="J17" s="48">
        <v>0.0</v>
      </c>
      <c r="K17" s="19">
        <v>12.0</v>
      </c>
      <c r="L17" s="19">
        <v>25.0</v>
      </c>
      <c r="M17" s="11">
        <f t="shared" si="2"/>
        <v>900</v>
      </c>
      <c r="N17" s="51"/>
      <c r="O17" s="3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9" t="s">
        <v>78</v>
      </c>
      <c r="B18" s="55" t="s">
        <v>19</v>
      </c>
      <c r="C18" s="47" t="s">
        <v>258</v>
      </c>
      <c r="D18" s="50">
        <v>1.0</v>
      </c>
      <c r="E18" s="23">
        <v>12.0</v>
      </c>
      <c r="F18" s="23">
        <v>15.0</v>
      </c>
      <c r="G18" s="50">
        <v>0.0</v>
      </c>
      <c r="H18" s="23">
        <v>12.0</v>
      </c>
      <c r="I18" s="23">
        <v>15.0</v>
      </c>
      <c r="J18" s="50">
        <v>0.0</v>
      </c>
      <c r="K18" s="23">
        <v>12.0</v>
      </c>
      <c r="L18" s="23">
        <v>15.0</v>
      </c>
      <c r="M18" s="11">
        <f t="shared" si="2"/>
        <v>540</v>
      </c>
      <c r="N18" s="51"/>
      <c r="O18" s="3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6" t="s">
        <v>79</v>
      </c>
      <c r="B19" s="55" t="s">
        <v>19</v>
      </c>
      <c r="C19" s="47" t="s">
        <v>248</v>
      </c>
      <c r="D19" s="48">
        <v>0.0</v>
      </c>
      <c r="E19" s="19">
        <v>15.0</v>
      </c>
      <c r="F19" s="19">
        <v>15.0</v>
      </c>
      <c r="G19" s="48">
        <v>0.0</v>
      </c>
      <c r="H19" s="19">
        <v>13.0</v>
      </c>
      <c r="I19" s="19">
        <v>15.0</v>
      </c>
      <c r="J19" s="48">
        <v>0.0</v>
      </c>
      <c r="K19" s="19">
        <v>12.0</v>
      </c>
      <c r="L19" s="19">
        <v>15.0</v>
      </c>
      <c r="M19" s="11">
        <f t="shared" si="2"/>
        <v>600</v>
      </c>
      <c r="N19" s="51"/>
      <c r="O19" s="3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9" t="s">
        <v>80</v>
      </c>
      <c r="B20" s="55" t="s">
        <v>19</v>
      </c>
      <c r="C20" s="47" t="s">
        <v>259</v>
      </c>
      <c r="D20" s="50">
        <v>0.0</v>
      </c>
      <c r="E20" s="23">
        <v>12.0</v>
      </c>
      <c r="F20" s="23">
        <v>50.0</v>
      </c>
      <c r="G20" s="50">
        <v>0.0</v>
      </c>
      <c r="H20" s="23">
        <v>12.0</v>
      </c>
      <c r="I20" s="23">
        <v>50.0</v>
      </c>
      <c r="J20" s="50">
        <v>0.0</v>
      </c>
      <c r="K20" s="23">
        <v>12.0</v>
      </c>
      <c r="L20" s="23">
        <v>50.0</v>
      </c>
      <c r="M20" s="11">
        <f t="shared" si="2"/>
        <v>1800</v>
      </c>
      <c r="N20" s="13"/>
      <c r="O20" s="3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58" t="s">
        <v>207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11">
        <f>SUM(M15,M16,M17,M18,M19,M20)</f>
        <v>9000</v>
      </c>
      <c r="N21" s="59"/>
      <c r="O21" s="5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0" t="s">
        <v>208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6" t="s">
        <v>57</v>
      </c>
      <c r="B24" s="61" t="s">
        <v>20</v>
      </c>
      <c r="C24" s="47" t="s">
        <v>232</v>
      </c>
      <c r="D24" s="48">
        <v>1.0</v>
      </c>
      <c r="E24" s="19">
        <v>12.0</v>
      </c>
      <c r="F24" s="19">
        <v>70.0</v>
      </c>
      <c r="G24" s="48">
        <v>1.0</v>
      </c>
      <c r="H24" s="19">
        <v>12.0</v>
      </c>
      <c r="I24" s="19">
        <v>70.0</v>
      </c>
      <c r="J24" s="48">
        <v>1.0</v>
      </c>
      <c r="K24" s="19">
        <v>12.0</v>
      </c>
      <c r="L24" s="19">
        <v>70.0</v>
      </c>
      <c r="M24" s="11">
        <f t="shared" ref="M24:M29" si="3">IFERROR(IFERROR(E24*F24,0)+IFERROR(H24*I24,0)+IFERROR(K24*L24,0),0)</f>
        <v>2520</v>
      </c>
      <c r="N24" s="10"/>
      <c r="O24" s="3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9" t="s">
        <v>55</v>
      </c>
      <c r="B25" s="61" t="s">
        <v>20</v>
      </c>
      <c r="C25" s="47" t="s">
        <v>257</v>
      </c>
      <c r="D25" s="50">
        <v>1.0</v>
      </c>
      <c r="E25" s="23">
        <v>12.0</v>
      </c>
      <c r="F25" s="23">
        <v>70.0</v>
      </c>
      <c r="G25" s="50">
        <v>1.0</v>
      </c>
      <c r="H25" s="23">
        <v>12.0</v>
      </c>
      <c r="I25" s="23">
        <v>80.0</v>
      </c>
      <c r="J25" s="50">
        <v>0.0</v>
      </c>
      <c r="K25" s="23">
        <v>10.0</v>
      </c>
      <c r="L25" s="23">
        <v>80.0</v>
      </c>
      <c r="M25" s="11">
        <f t="shared" si="3"/>
        <v>2600</v>
      </c>
      <c r="N25" s="51"/>
      <c r="O25" s="3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6" t="s">
        <v>77</v>
      </c>
      <c r="B26" s="61" t="s">
        <v>20</v>
      </c>
      <c r="C26" s="47" t="s">
        <v>214</v>
      </c>
      <c r="D26" s="48">
        <v>0.0</v>
      </c>
      <c r="E26" s="19">
        <v>12.0</v>
      </c>
      <c r="F26" s="38">
        <v>30.0</v>
      </c>
      <c r="G26" s="48">
        <v>0.0</v>
      </c>
      <c r="H26" s="19">
        <v>12.0</v>
      </c>
      <c r="I26" s="19">
        <v>30.0</v>
      </c>
      <c r="J26" s="48">
        <v>0.0</v>
      </c>
      <c r="K26" s="19">
        <v>10.0</v>
      </c>
      <c r="L26" s="19">
        <v>30.0</v>
      </c>
      <c r="M26" s="11">
        <f t="shared" si="3"/>
        <v>1020</v>
      </c>
      <c r="N26" s="51"/>
      <c r="O26" s="3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9" t="s">
        <v>78</v>
      </c>
      <c r="B27" s="61" t="s">
        <v>20</v>
      </c>
      <c r="C27" s="47" t="s">
        <v>258</v>
      </c>
      <c r="D27" s="50">
        <v>1.0</v>
      </c>
      <c r="E27" s="23">
        <v>10.0</v>
      </c>
      <c r="F27" s="23">
        <v>15.0</v>
      </c>
      <c r="G27" s="50">
        <v>0.0</v>
      </c>
      <c r="H27" s="23">
        <v>10.0</v>
      </c>
      <c r="I27" s="23">
        <v>15.0</v>
      </c>
      <c r="J27" s="50">
        <v>0.0</v>
      </c>
      <c r="K27" s="23">
        <v>10.0</v>
      </c>
      <c r="L27" s="23">
        <v>15.0</v>
      </c>
      <c r="M27" s="11">
        <f t="shared" si="3"/>
        <v>450</v>
      </c>
      <c r="N27" s="51"/>
      <c r="O27" s="3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6" t="s">
        <v>79</v>
      </c>
      <c r="B28" s="61" t="s">
        <v>20</v>
      </c>
      <c r="C28" s="47" t="s">
        <v>248</v>
      </c>
      <c r="D28" s="48">
        <v>0.0</v>
      </c>
      <c r="E28" s="19">
        <v>13.0</v>
      </c>
      <c r="F28" s="19">
        <v>20.0</v>
      </c>
      <c r="G28" s="48">
        <v>0.0</v>
      </c>
      <c r="H28" s="19">
        <v>13.0</v>
      </c>
      <c r="I28" s="19">
        <v>20.0</v>
      </c>
      <c r="J28" s="48">
        <v>0.0</v>
      </c>
      <c r="K28" s="19">
        <v>12.0</v>
      </c>
      <c r="L28" s="19">
        <v>20.0</v>
      </c>
      <c r="M28" s="11">
        <f t="shared" si="3"/>
        <v>760</v>
      </c>
      <c r="N28" s="51"/>
      <c r="O28" s="3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9" t="s">
        <v>80</v>
      </c>
      <c r="B29" s="61" t="s">
        <v>20</v>
      </c>
      <c r="C29" s="47" t="s">
        <v>259</v>
      </c>
      <c r="D29" s="50">
        <v>0.0</v>
      </c>
      <c r="E29" s="23">
        <v>12.0</v>
      </c>
      <c r="F29" s="23">
        <v>50.0</v>
      </c>
      <c r="G29" s="50">
        <v>0.0</v>
      </c>
      <c r="H29" s="23">
        <v>12.0</v>
      </c>
      <c r="I29" s="23">
        <v>50.0</v>
      </c>
      <c r="J29" s="50">
        <v>0.0</v>
      </c>
      <c r="K29" s="23">
        <v>12.0</v>
      </c>
      <c r="L29" s="23">
        <v>50.0</v>
      </c>
      <c r="M29" s="11">
        <f t="shared" si="3"/>
        <v>1800</v>
      </c>
      <c r="N29" s="13"/>
      <c r="O29" s="3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62" t="s">
        <v>209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11">
        <f>SUM(M24,M25,M26,M27,M28,M29)</f>
        <v>9150</v>
      </c>
      <c r="N30" s="63"/>
      <c r="O30" s="6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4" t="s">
        <v>210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6" t="s">
        <v>57</v>
      </c>
      <c r="B33" s="65" t="s">
        <v>21</v>
      </c>
      <c r="C33" s="47" t="s">
        <v>232</v>
      </c>
      <c r="D33" s="48">
        <v>1.0</v>
      </c>
      <c r="E33" s="38">
        <v>12.0</v>
      </c>
      <c r="F33" s="38">
        <v>70.0</v>
      </c>
      <c r="G33" s="48">
        <v>1.0</v>
      </c>
      <c r="H33" s="31">
        <v>12.0</v>
      </c>
      <c r="I33" s="31">
        <v>70.0</v>
      </c>
      <c r="J33" s="48">
        <v>1.0</v>
      </c>
      <c r="K33" s="31">
        <v>12.0</v>
      </c>
      <c r="L33" s="31">
        <v>70.0</v>
      </c>
      <c r="M33" s="11">
        <f t="shared" ref="M33:M41" si="4">IFERROR(IFERROR(E33*F33,0)+IFERROR(H33*I33,0)+IFERROR(K33*L33,0),0)</f>
        <v>2520</v>
      </c>
      <c r="N33" s="70"/>
      <c r="O33" s="10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9" t="s">
        <v>55</v>
      </c>
      <c r="B34" s="65" t="s">
        <v>21</v>
      </c>
      <c r="C34" s="47" t="s">
        <v>257</v>
      </c>
      <c r="D34" s="50">
        <v>1.0</v>
      </c>
      <c r="E34" s="23">
        <v>12.0</v>
      </c>
      <c r="F34" s="23">
        <v>70.0</v>
      </c>
      <c r="G34" s="50">
        <v>1.0</v>
      </c>
      <c r="H34" s="23">
        <v>12.0</v>
      </c>
      <c r="I34" s="23">
        <v>70.0</v>
      </c>
      <c r="J34" s="50">
        <v>0.0</v>
      </c>
      <c r="K34" s="23">
        <v>12.0</v>
      </c>
      <c r="L34" s="23">
        <v>70.0</v>
      </c>
      <c r="M34" s="11">
        <f t="shared" si="4"/>
        <v>2520</v>
      </c>
      <c r="N34" s="71"/>
      <c r="O34" s="1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6" t="s">
        <v>77</v>
      </c>
      <c r="B35" s="65" t="s">
        <v>21</v>
      </c>
      <c r="C35" s="47" t="s">
        <v>214</v>
      </c>
      <c r="D35" s="48">
        <v>0.0</v>
      </c>
      <c r="E35" s="38">
        <v>10.0</v>
      </c>
      <c r="F35" s="38">
        <v>60.0</v>
      </c>
      <c r="G35" s="48">
        <v>0.0</v>
      </c>
      <c r="H35" s="38">
        <v>10.0</v>
      </c>
      <c r="I35" s="38">
        <v>60.0</v>
      </c>
      <c r="J35" s="48">
        <v>0.0</v>
      </c>
      <c r="K35" s="38">
        <v>10.0</v>
      </c>
      <c r="L35" s="38">
        <v>60.0</v>
      </c>
      <c r="M35" s="11">
        <f t="shared" si="4"/>
        <v>1800</v>
      </c>
      <c r="N35" s="70"/>
      <c r="O35" s="1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9" t="s">
        <v>235</v>
      </c>
      <c r="B36" s="65" t="s">
        <v>21</v>
      </c>
      <c r="C36" s="47" t="s">
        <v>236</v>
      </c>
      <c r="D36" s="50">
        <v>0.0</v>
      </c>
      <c r="E36" s="39">
        <v>10.0</v>
      </c>
      <c r="F36" s="39">
        <v>17.5</v>
      </c>
      <c r="G36" s="50">
        <v>0.0</v>
      </c>
      <c r="H36" s="39">
        <v>10.0</v>
      </c>
      <c r="I36" s="39">
        <v>17.5</v>
      </c>
      <c r="J36" s="50">
        <v>0.0</v>
      </c>
      <c r="K36" s="39">
        <v>10.0</v>
      </c>
      <c r="L36" s="39">
        <v>17.5</v>
      </c>
      <c r="M36" s="11">
        <f t="shared" si="4"/>
        <v>525</v>
      </c>
      <c r="N36" s="71"/>
      <c r="O36" s="1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6" t="s">
        <v>237</v>
      </c>
      <c r="B37" s="65" t="s">
        <v>21</v>
      </c>
      <c r="C37" s="47" t="s">
        <v>202</v>
      </c>
      <c r="D37" s="48">
        <v>1.0</v>
      </c>
      <c r="E37" s="38">
        <v>10.0</v>
      </c>
      <c r="F37" s="38">
        <v>10.0</v>
      </c>
      <c r="G37" s="48">
        <v>1.0</v>
      </c>
      <c r="H37" s="38">
        <v>10.0</v>
      </c>
      <c r="I37" s="38">
        <v>10.0</v>
      </c>
      <c r="J37" s="48">
        <v>1.0</v>
      </c>
      <c r="K37" s="38">
        <v>10.0</v>
      </c>
      <c r="L37" s="38">
        <v>10.0</v>
      </c>
      <c r="M37" s="11">
        <f t="shared" si="4"/>
        <v>300</v>
      </c>
      <c r="N37" s="70"/>
      <c r="O37" s="10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9" t="s">
        <v>238</v>
      </c>
      <c r="B38" s="65" t="s">
        <v>21</v>
      </c>
      <c r="C38" s="47" t="s">
        <v>239</v>
      </c>
      <c r="D38" s="50">
        <v>0.0</v>
      </c>
      <c r="E38" s="39">
        <v>12.0</v>
      </c>
      <c r="F38" s="39">
        <v>37.5</v>
      </c>
      <c r="G38" s="50">
        <v>0.0</v>
      </c>
      <c r="H38" s="39">
        <v>12.0</v>
      </c>
      <c r="I38" s="39">
        <v>37.5</v>
      </c>
      <c r="J38" s="50">
        <v>0.0</v>
      </c>
      <c r="K38" s="39">
        <v>12.0</v>
      </c>
      <c r="L38" s="39">
        <v>37.5</v>
      </c>
      <c r="M38" s="11">
        <f t="shared" si="4"/>
        <v>1350</v>
      </c>
      <c r="N38" s="71"/>
      <c r="O38" s="1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6" t="s">
        <v>78</v>
      </c>
      <c r="B39" s="65" t="s">
        <v>21</v>
      </c>
      <c r="C39" s="47" t="s">
        <v>258</v>
      </c>
      <c r="D39" s="48">
        <v>1.0</v>
      </c>
      <c r="E39" s="38">
        <v>10.0</v>
      </c>
      <c r="F39" s="38">
        <v>15.0</v>
      </c>
      <c r="G39" s="48">
        <v>0.0</v>
      </c>
      <c r="H39" s="38">
        <v>10.0</v>
      </c>
      <c r="I39" s="38">
        <v>15.0</v>
      </c>
      <c r="J39" s="48">
        <v>0.0</v>
      </c>
      <c r="K39" s="38">
        <v>10.0</v>
      </c>
      <c r="L39" s="38">
        <v>15.0</v>
      </c>
      <c r="M39" s="11">
        <f t="shared" si="4"/>
        <v>450</v>
      </c>
      <c r="N39" s="70"/>
      <c r="O39" s="10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9" t="s">
        <v>79</v>
      </c>
      <c r="B40" s="65" t="s">
        <v>21</v>
      </c>
      <c r="C40" s="47" t="s">
        <v>248</v>
      </c>
      <c r="D40" s="50">
        <v>0.0</v>
      </c>
      <c r="E40" s="39">
        <v>15.0</v>
      </c>
      <c r="F40" s="39">
        <v>20.0</v>
      </c>
      <c r="G40" s="50">
        <v>0.0</v>
      </c>
      <c r="H40" s="39">
        <v>15.0</v>
      </c>
      <c r="I40" s="39">
        <v>20.0</v>
      </c>
      <c r="J40" s="50">
        <v>0.0</v>
      </c>
      <c r="K40" s="39">
        <v>15.0</v>
      </c>
      <c r="L40" s="39">
        <v>20.0</v>
      </c>
      <c r="M40" s="11">
        <f t="shared" si="4"/>
        <v>900</v>
      </c>
      <c r="N40" s="71"/>
      <c r="O40" s="1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6" t="s">
        <v>80</v>
      </c>
      <c r="B41" s="65" t="s">
        <v>21</v>
      </c>
      <c r="C41" s="47" t="s">
        <v>259</v>
      </c>
      <c r="D41" s="48">
        <v>0.0</v>
      </c>
      <c r="E41" s="23">
        <v>12.0</v>
      </c>
      <c r="F41" s="23">
        <v>50.0</v>
      </c>
      <c r="G41" s="48">
        <v>0.0</v>
      </c>
      <c r="H41" s="23">
        <v>12.0</v>
      </c>
      <c r="I41" s="23">
        <v>50.0</v>
      </c>
      <c r="J41" s="48">
        <v>0.0</v>
      </c>
      <c r="K41" s="23">
        <v>12.0</v>
      </c>
      <c r="L41" s="23">
        <v>50.0</v>
      </c>
      <c r="M41" s="11">
        <f t="shared" si="4"/>
        <v>1800</v>
      </c>
      <c r="N41" s="70"/>
      <c r="O41" s="10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6" t="s">
        <v>211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11">
        <f>SUM(M33,M34,M35,M36,M37,M38,M39,M40,M41)</f>
        <v>12165</v>
      </c>
      <c r="N42" s="93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8" t="s">
        <v>212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6" t="s">
        <v>57</v>
      </c>
      <c r="B45" s="69" t="s">
        <v>22</v>
      </c>
      <c r="C45" s="47" t="s">
        <v>232</v>
      </c>
      <c r="D45" s="48">
        <v>1.0</v>
      </c>
      <c r="E45" s="19"/>
      <c r="F45" s="19"/>
      <c r="G45" s="48">
        <v>1.0</v>
      </c>
      <c r="H45" s="19"/>
      <c r="I45" s="19"/>
      <c r="J45" s="48">
        <v>1.0</v>
      </c>
      <c r="K45" s="19"/>
      <c r="L45" s="19"/>
      <c r="M45" s="11">
        <f t="shared" ref="M45:M53" si="5">IFERROR(IFERROR(E45*F45,0)+IFERROR(H45*I45,0)+IFERROR(K45*L45,0),0)</f>
        <v>0</v>
      </c>
      <c r="N45" s="70"/>
      <c r="O45" s="10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9" t="s">
        <v>55</v>
      </c>
      <c r="B46" s="69" t="s">
        <v>22</v>
      </c>
      <c r="C46" s="47" t="s">
        <v>257</v>
      </c>
      <c r="D46" s="50">
        <v>1.0</v>
      </c>
      <c r="E46" s="23"/>
      <c r="F46" s="23"/>
      <c r="G46" s="50">
        <v>1.0</v>
      </c>
      <c r="H46" s="23"/>
      <c r="I46" s="23"/>
      <c r="J46" s="50">
        <v>0.0</v>
      </c>
      <c r="K46" s="23"/>
      <c r="L46" s="23"/>
      <c r="M46" s="11">
        <f t="shared" si="5"/>
        <v>0</v>
      </c>
      <c r="N46" s="71"/>
      <c r="O46" s="1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6" t="s">
        <v>77</v>
      </c>
      <c r="B47" s="69" t="s">
        <v>22</v>
      </c>
      <c r="C47" s="47" t="s">
        <v>214</v>
      </c>
      <c r="D47" s="48">
        <v>0.0</v>
      </c>
      <c r="E47" s="19"/>
      <c r="F47" s="19"/>
      <c r="G47" s="48">
        <v>0.0</v>
      </c>
      <c r="H47" s="19"/>
      <c r="I47" s="19"/>
      <c r="J47" s="48">
        <v>0.0</v>
      </c>
      <c r="K47" s="19"/>
      <c r="L47" s="19"/>
      <c r="M47" s="11">
        <f t="shared" si="5"/>
        <v>0</v>
      </c>
      <c r="N47" s="70"/>
      <c r="O47" s="10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9" t="s">
        <v>235</v>
      </c>
      <c r="B48" s="69" t="s">
        <v>22</v>
      </c>
      <c r="C48" s="47" t="s">
        <v>236</v>
      </c>
      <c r="D48" s="50">
        <v>0.0</v>
      </c>
      <c r="E48" s="23"/>
      <c r="F48" s="23"/>
      <c r="G48" s="50">
        <v>0.0</v>
      </c>
      <c r="H48" s="23"/>
      <c r="I48" s="23"/>
      <c r="J48" s="50">
        <v>0.0</v>
      </c>
      <c r="K48" s="23"/>
      <c r="L48" s="23"/>
      <c r="M48" s="11">
        <f t="shared" si="5"/>
        <v>0</v>
      </c>
      <c r="N48" s="71"/>
      <c r="O48" s="1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6" t="s">
        <v>237</v>
      </c>
      <c r="B49" s="69" t="s">
        <v>22</v>
      </c>
      <c r="C49" s="47" t="s">
        <v>202</v>
      </c>
      <c r="D49" s="48">
        <v>1.0</v>
      </c>
      <c r="E49" s="19"/>
      <c r="F49" s="19"/>
      <c r="G49" s="48">
        <v>1.0</v>
      </c>
      <c r="H49" s="19"/>
      <c r="I49" s="19"/>
      <c r="J49" s="48">
        <v>1.0</v>
      </c>
      <c r="K49" s="19"/>
      <c r="L49" s="19"/>
      <c r="M49" s="11">
        <f t="shared" si="5"/>
        <v>0</v>
      </c>
      <c r="N49" s="70"/>
      <c r="O49" s="10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9" t="s">
        <v>238</v>
      </c>
      <c r="B50" s="69" t="s">
        <v>22</v>
      </c>
      <c r="C50" s="47" t="s">
        <v>239</v>
      </c>
      <c r="D50" s="50">
        <v>0.0</v>
      </c>
      <c r="E50" s="23"/>
      <c r="F50" s="23"/>
      <c r="G50" s="50">
        <v>0.0</v>
      </c>
      <c r="H50" s="23"/>
      <c r="I50" s="23"/>
      <c r="J50" s="50">
        <v>0.0</v>
      </c>
      <c r="K50" s="23"/>
      <c r="L50" s="23"/>
      <c r="M50" s="11">
        <f t="shared" si="5"/>
        <v>0</v>
      </c>
      <c r="N50" s="71"/>
      <c r="O50" s="1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6" t="s">
        <v>78</v>
      </c>
      <c r="B51" s="69" t="s">
        <v>22</v>
      </c>
      <c r="C51" s="47" t="s">
        <v>258</v>
      </c>
      <c r="D51" s="48">
        <v>1.0</v>
      </c>
      <c r="E51" s="19"/>
      <c r="F51" s="19"/>
      <c r="G51" s="48">
        <v>0.0</v>
      </c>
      <c r="H51" s="19"/>
      <c r="I51" s="19"/>
      <c r="J51" s="48">
        <v>0.0</v>
      </c>
      <c r="K51" s="19"/>
      <c r="L51" s="19"/>
      <c r="M51" s="11">
        <f t="shared" si="5"/>
        <v>0</v>
      </c>
      <c r="N51" s="70"/>
      <c r="O51" s="10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9" t="s">
        <v>79</v>
      </c>
      <c r="B52" s="69" t="s">
        <v>22</v>
      </c>
      <c r="C52" s="47" t="s">
        <v>248</v>
      </c>
      <c r="D52" s="50">
        <v>0.0</v>
      </c>
      <c r="E52" s="23"/>
      <c r="F52" s="23"/>
      <c r="G52" s="50">
        <v>0.0</v>
      </c>
      <c r="H52" s="23"/>
      <c r="I52" s="23"/>
      <c r="J52" s="50">
        <v>0.0</v>
      </c>
      <c r="K52" s="23"/>
      <c r="L52" s="23"/>
      <c r="M52" s="11">
        <f t="shared" si="5"/>
        <v>0</v>
      </c>
      <c r="N52" s="71"/>
      <c r="O52" s="1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6" t="s">
        <v>80</v>
      </c>
      <c r="B53" s="69" t="s">
        <v>22</v>
      </c>
      <c r="C53" s="47" t="s">
        <v>259</v>
      </c>
      <c r="D53" s="48">
        <v>0.0</v>
      </c>
      <c r="E53" s="19"/>
      <c r="F53" s="19"/>
      <c r="G53" s="48">
        <v>0.0</v>
      </c>
      <c r="H53" s="19"/>
      <c r="I53" s="19"/>
      <c r="J53" s="48">
        <v>0.0</v>
      </c>
      <c r="K53" s="19"/>
      <c r="L53" s="19"/>
      <c r="M53" s="11">
        <f t="shared" si="5"/>
        <v>0</v>
      </c>
      <c r="N53" s="70"/>
      <c r="O53" s="10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72" t="s">
        <v>216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11">
        <f>SUM(M45,M46,M47,M48,M49,M50,M51,M52,M53)</f>
        <v>0</v>
      </c>
      <c r="N54" s="94"/>
      <c r="O54" s="7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74" t="s">
        <v>217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6" t="s">
        <v>57</v>
      </c>
      <c r="B57" s="75" t="s">
        <v>23</v>
      </c>
      <c r="C57" s="47" t="s">
        <v>232</v>
      </c>
      <c r="D57" s="48">
        <v>1.0</v>
      </c>
      <c r="E57" s="19"/>
      <c r="F57" s="19"/>
      <c r="G57" s="48">
        <v>1.0</v>
      </c>
      <c r="H57" s="19"/>
      <c r="I57" s="19"/>
      <c r="J57" s="48">
        <v>1.0</v>
      </c>
      <c r="K57" s="19"/>
      <c r="L57" s="19"/>
      <c r="M57" s="11">
        <f t="shared" ref="M57:M65" si="6">IFERROR(IFERROR(E57*F57,0)+IFERROR(H57*I57,0)+IFERROR(K57*L57,0),0)</f>
        <v>0</v>
      </c>
      <c r="N57" s="70"/>
      <c r="O57" s="1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9" t="s">
        <v>55</v>
      </c>
      <c r="B58" s="75" t="s">
        <v>23</v>
      </c>
      <c r="C58" s="47" t="s">
        <v>257</v>
      </c>
      <c r="D58" s="50">
        <v>1.0</v>
      </c>
      <c r="E58" s="23"/>
      <c r="F58" s="23"/>
      <c r="G58" s="50">
        <v>1.0</v>
      </c>
      <c r="H58" s="23"/>
      <c r="I58" s="23"/>
      <c r="J58" s="50">
        <v>0.0</v>
      </c>
      <c r="K58" s="23"/>
      <c r="L58" s="23"/>
      <c r="M58" s="11">
        <f t="shared" si="6"/>
        <v>0</v>
      </c>
      <c r="N58" s="71"/>
      <c r="O58" s="1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6" t="s">
        <v>77</v>
      </c>
      <c r="B59" s="75" t="s">
        <v>23</v>
      </c>
      <c r="C59" s="47" t="s">
        <v>214</v>
      </c>
      <c r="D59" s="48">
        <v>0.0</v>
      </c>
      <c r="E59" s="19"/>
      <c r="F59" s="19"/>
      <c r="G59" s="48">
        <v>0.0</v>
      </c>
      <c r="H59" s="19"/>
      <c r="I59" s="19"/>
      <c r="J59" s="48">
        <v>0.0</v>
      </c>
      <c r="K59" s="19"/>
      <c r="L59" s="19"/>
      <c r="M59" s="11">
        <f t="shared" si="6"/>
        <v>0</v>
      </c>
      <c r="N59" s="70"/>
      <c r="O59" s="1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9" t="s">
        <v>235</v>
      </c>
      <c r="B60" s="75" t="s">
        <v>23</v>
      </c>
      <c r="C60" s="47" t="s">
        <v>236</v>
      </c>
      <c r="D60" s="50">
        <v>0.0</v>
      </c>
      <c r="E60" s="23"/>
      <c r="F60" s="23"/>
      <c r="G60" s="50">
        <v>0.0</v>
      </c>
      <c r="H60" s="23"/>
      <c r="I60" s="23"/>
      <c r="J60" s="50">
        <v>0.0</v>
      </c>
      <c r="K60" s="23"/>
      <c r="L60" s="23"/>
      <c r="M60" s="11">
        <f t="shared" si="6"/>
        <v>0</v>
      </c>
      <c r="N60" s="71"/>
      <c r="O60" s="1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6" t="s">
        <v>237</v>
      </c>
      <c r="B61" s="75" t="s">
        <v>23</v>
      </c>
      <c r="C61" s="47" t="s">
        <v>202</v>
      </c>
      <c r="D61" s="48">
        <v>1.0</v>
      </c>
      <c r="E61" s="19"/>
      <c r="F61" s="19"/>
      <c r="G61" s="48">
        <v>1.0</v>
      </c>
      <c r="H61" s="19"/>
      <c r="I61" s="19"/>
      <c r="J61" s="48">
        <v>1.0</v>
      </c>
      <c r="K61" s="19"/>
      <c r="L61" s="19"/>
      <c r="M61" s="11">
        <f t="shared" si="6"/>
        <v>0</v>
      </c>
      <c r="N61" s="70"/>
      <c r="O61" s="10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9" t="s">
        <v>238</v>
      </c>
      <c r="B62" s="75" t="s">
        <v>23</v>
      </c>
      <c r="C62" s="47" t="s">
        <v>239</v>
      </c>
      <c r="D62" s="50">
        <v>0.0</v>
      </c>
      <c r="E62" s="23"/>
      <c r="F62" s="23"/>
      <c r="G62" s="50">
        <v>0.0</v>
      </c>
      <c r="H62" s="23"/>
      <c r="I62" s="23"/>
      <c r="J62" s="50">
        <v>0.0</v>
      </c>
      <c r="K62" s="23"/>
      <c r="L62" s="23"/>
      <c r="M62" s="11">
        <f t="shared" si="6"/>
        <v>0</v>
      </c>
      <c r="N62" s="71"/>
      <c r="O62" s="1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6" t="s">
        <v>78</v>
      </c>
      <c r="B63" s="75" t="s">
        <v>23</v>
      </c>
      <c r="C63" s="47" t="s">
        <v>258</v>
      </c>
      <c r="D63" s="48">
        <v>1.0</v>
      </c>
      <c r="E63" s="19"/>
      <c r="F63" s="19"/>
      <c r="G63" s="48">
        <v>0.0</v>
      </c>
      <c r="H63" s="19"/>
      <c r="I63" s="19"/>
      <c r="J63" s="48">
        <v>0.0</v>
      </c>
      <c r="K63" s="19"/>
      <c r="L63" s="19"/>
      <c r="M63" s="11">
        <f t="shared" si="6"/>
        <v>0</v>
      </c>
      <c r="N63" s="70"/>
      <c r="O63" s="1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9" t="s">
        <v>79</v>
      </c>
      <c r="B64" s="75" t="s">
        <v>23</v>
      </c>
      <c r="C64" s="47" t="s">
        <v>248</v>
      </c>
      <c r="D64" s="50">
        <v>0.0</v>
      </c>
      <c r="E64" s="23"/>
      <c r="F64" s="23"/>
      <c r="G64" s="50">
        <v>0.0</v>
      </c>
      <c r="H64" s="23"/>
      <c r="I64" s="23"/>
      <c r="J64" s="50">
        <v>0.0</v>
      </c>
      <c r="K64" s="23"/>
      <c r="L64" s="23"/>
      <c r="M64" s="11">
        <f t="shared" si="6"/>
        <v>0</v>
      </c>
      <c r="N64" s="71"/>
      <c r="O64" s="1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6" t="s">
        <v>80</v>
      </c>
      <c r="B65" s="75" t="s">
        <v>23</v>
      </c>
      <c r="C65" s="47" t="s">
        <v>259</v>
      </c>
      <c r="D65" s="48">
        <v>0.0</v>
      </c>
      <c r="E65" s="19"/>
      <c r="F65" s="19"/>
      <c r="G65" s="48">
        <v>0.0</v>
      </c>
      <c r="H65" s="19"/>
      <c r="I65" s="19"/>
      <c r="J65" s="48">
        <v>0.0</v>
      </c>
      <c r="K65" s="19"/>
      <c r="L65" s="19"/>
      <c r="M65" s="11">
        <f t="shared" si="6"/>
        <v>0</v>
      </c>
      <c r="N65" s="70"/>
      <c r="O65" s="1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76" t="s">
        <v>218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11">
        <f>SUM(M57,M58,M59,M60,M61,M62,M63,M64,M65)</f>
        <v>0</v>
      </c>
      <c r="N66" s="77"/>
      <c r="O66" s="7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78" t="s">
        <v>219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6" t="s">
        <v>57</v>
      </c>
      <c r="B69" s="79" t="s">
        <v>24</v>
      </c>
      <c r="C69" s="47" t="s">
        <v>232</v>
      </c>
      <c r="D69" s="48">
        <v>1.0</v>
      </c>
      <c r="E69" s="19"/>
      <c r="F69" s="19"/>
      <c r="G69" s="48">
        <v>1.0</v>
      </c>
      <c r="H69" s="19"/>
      <c r="I69" s="19"/>
      <c r="J69" s="48">
        <v>1.0</v>
      </c>
      <c r="K69" s="19"/>
      <c r="L69" s="19"/>
      <c r="M69" s="11">
        <f t="shared" ref="M69:M77" si="7">IFERROR(IFERROR(E69*F69,0)+IFERROR(H69*I69,0)+IFERROR(K69*L69,0),0)</f>
        <v>0</v>
      </c>
      <c r="N69" s="70"/>
      <c r="O69" s="1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9" t="s">
        <v>55</v>
      </c>
      <c r="B70" s="79" t="s">
        <v>24</v>
      </c>
      <c r="C70" s="47" t="s">
        <v>257</v>
      </c>
      <c r="D70" s="50">
        <v>1.0</v>
      </c>
      <c r="E70" s="23"/>
      <c r="F70" s="23"/>
      <c r="G70" s="50">
        <v>1.0</v>
      </c>
      <c r="H70" s="23"/>
      <c r="I70" s="23"/>
      <c r="J70" s="50">
        <v>0.0</v>
      </c>
      <c r="K70" s="23"/>
      <c r="L70" s="23"/>
      <c r="M70" s="11">
        <f t="shared" si="7"/>
        <v>0</v>
      </c>
      <c r="N70" s="71"/>
      <c r="O70" s="1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6" t="s">
        <v>77</v>
      </c>
      <c r="B71" s="79" t="s">
        <v>24</v>
      </c>
      <c r="C71" s="47" t="s">
        <v>214</v>
      </c>
      <c r="D71" s="48">
        <v>0.0</v>
      </c>
      <c r="E71" s="19"/>
      <c r="F71" s="19"/>
      <c r="G71" s="48">
        <v>0.0</v>
      </c>
      <c r="H71" s="19"/>
      <c r="I71" s="19"/>
      <c r="J71" s="48">
        <v>0.0</v>
      </c>
      <c r="K71" s="19"/>
      <c r="L71" s="19"/>
      <c r="M71" s="11">
        <f t="shared" si="7"/>
        <v>0</v>
      </c>
      <c r="N71" s="70"/>
      <c r="O71" s="1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9" t="s">
        <v>235</v>
      </c>
      <c r="B72" s="79" t="s">
        <v>24</v>
      </c>
      <c r="C72" s="47" t="s">
        <v>236</v>
      </c>
      <c r="D72" s="50">
        <v>0.0</v>
      </c>
      <c r="E72" s="23"/>
      <c r="F72" s="23"/>
      <c r="G72" s="50">
        <v>0.0</v>
      </c>
      <c r="H72" s="23"/>
      <c r="I72" s="23"/>
      <c r="J72" s="50">
        <v>0.0</v>
      </c>
      <c r="K72" s="23"/>
      <c r="L72" s="23"/>
      <c r="M72" s="11">
        <f t="shared" si="7"/>
        <v>0</v>
      </c>
      <c r="N72" s="71"/>
      <c r="O72" s="1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6" t="s">
        <v>237</v>
      </c>
      <c r="B73" s="79" t="s">
        <v>24</v>
      </c>
      <c r="C73" s="47" t="s">
        <v>202</v>
      </c>
      <c r="D73" s="48">
        <v>1.0</v>
      </c>
      <c r="E73" s="19"/>
      <c r="F73" s="19"/>
      <c r="G73" s="48">
        <v>1.0</v>
      </c>
      <c r="H73" s="19"/>
      <c r="I73" s="19"/>
      <c r="J73" s="48">
        <v>1.0</v>
      </c>
      <c r="K73" s="19"/>
      <c r="L73" s="19"/>
      <c r="M73" s="11">
        <f t="shared" si="7"/>
        <v>0</v>
      </c>
      <c r="N73" s="70"/>
      <c r="O73" s="1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9" t="s">
        <v>238</v>
      </c>
      <c r="B74" s="79" t="s">
        <v>24</v>
      </c>
      <c r="C74" s="47" t="s">
        <v>239</v>
      </c>
      <c r="D74" s="50">
        <v>0.0</v>
      </c>
      <c r="E74" s="23"/>
      <c r="F74" s="23"/>
      <c r="G74" s="50">
        <v>0.0</v>
      </c>
      <c r="H74" s="23"/>
      <c r="I74" s="23"/>
      <c r="J74" s="50">
        <v>0.0</v>
      </c>
      <c r="K74" s="23"/>
      <c r="L74" s="23"/>
      <c r="M74" s="11">
        <f t="shared" si="7"/>
        <v>0</v>
      </c>
      <c r="N74" s="71"/>
      <c r="O74" s="1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6" t="s">
        <v>78</v>
      </c>
      <c r="B75" s="79" t="s">
        <v>24</v>
      </c>
      <c r="C75" s="47" t="s">
        <v>258</v>
      </c>
      <c r="D75" s="48">
        <v>1.0</v>
      </c>
      <c r="E75" s="19"/>
      <c r="F75" s="19"/>
      <c r="G75" s="48">
        <v>0.0</v>
      </c>
      <c r="H75" s="19"/>
      <c r="I75" s="19"/>
      <c r="J75" s="48">
        <v>0.0</v>
      </c>
      <c r="K75" s="19"/>
      <c r="L75" s="19"/>
      <c r="M75" s="11">
        <f t="shared" si="7"/>
        <v>0</v>
      </c>
      <c r="N75" s="70"/>
      <c r="O75" s="1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9" t="s">
        <v>79</v>
      </c>
      <c r="B76" s="79" t="s">
        <v>24</v>
      </c>
      <c r="C76" s="47" t="s">
        <v>248</v>
      </c>
      <c r="D76" s="50">
        <v>0.0</v>
      </c>
      <c r="E76" s="23"/>
      <c r="F76" s="23"/>
      <c r="G76" s="50">
        <v>0.0</v>
      </c>
      <c r="H76" s="23"/>
      <c r="I76" s="23"/>
      <c r="J76" s="50">
        <v>0.0</v>
      </c>
      <c r="K76" s="23"/>
      <c r="L76" s="23"/>
      <c r="M76" s="11">
        <f t="shared" si="7"/>
        <v>0</v>
      </c>
      <c r="N76" s="71"/>
      <c r="O76" s="1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6" t="s">
        <v>80</v>
      </c>
      <c r="B77" s="79" t="s">
        <v>24</v>
      </c>
      <c r="C77" s="47" t="s">
        <v>259</v>
      </c>
      <c r="D77" s="48">
        <v>0.0</v>
      </c>
      <c r="E77" s="19"/>
      <c r="F77" s="19"/>
      <c r="G77" s="48">
        <v>0.0</v>
      </c>
      <c r="H77" s="19"/>
      <c r="I77" s="19"/>
      <c r="J77" s="48">
        <v>0.0</v>
      </c>
      <c r="K77" s="19"/>
      <c r="L77" s="19"/>
      <c r="M77" s="11">
        <f t="shared" si="7"/>
        <v>0</v>
      </c>
      <c r="N77" s="70"/>
      <c r="O77" s="1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80" t="s">
        <v>220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11">
        <f>SUM(M69,M70,M71,M72,M73,M74,M75,M76,M77)</f>
        <v>0</v>
      </c>
      <c r="N78" s="82"/>
      <c r="O78" s="82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83" t="s">
        <v>221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6" t="s">
        <v>57</v>
      </c>
      <c r="B81" s="84" t="s">
        <v>25</v>
      </c>
      <c r="C81" s="47" t="s">
        <v>232</v>
      </c>
      <c r="D81" s="48">
        <v>1.0</v>
      </c>
      <c r="E81" s="19"/>
      <c r="F81" s="19"/>
      <c r="G81" s="48">
        <v>1.0</v>
      </c>
      <c r="H81" s="19"/>
      <c r="I81" s="19"/>
      <c r="J81" s="48">
        <v>1.0</v>
      </c>
      <c r="K81" s="19"/>
      <c r="L81" s="19"/>
      <c r="M81" s="11">
        <f t="shared" ref="M81:M89" si="8">IFERROR(IFERROR(E81*F81,0)+IFERROR(H81*I81,0)+IFERROR(K81*L81,0),0)</f>
        <v>0</v>
      </c>
      <c r="N81" s="70"/>
      <c r="O81" s="10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9" t="s">
        <v>55</v>
      </c>
      <c r="B82" s="84" t="s">
        <v>25</v>
      </c>
      <c r="C82" s="47" t="s">
        <v>257</v>
      </c>
      <c r="D82" s="50">
        <v>1.0</v>
      </c>
      <c r="E82" s="23"/>
      <c r="F82" s="23"/>
      <c r="G82" s="50">
        <v>1.0</v>
      </c>
      <c r="H82" s="23"/>
      <c r="I82" s="23"/>
      <c r="J82" s="50">
        <v>0.0</v>
      </c>
      <c r="K82" s="23"/>
      <c r="L82" s="23"/>
      <c r="M82" s="11">
        <f t="shared" si="8"/>
        <v>0</v>
      </c>
      <c r="N82" s="71"/>
      <c r="O82" s="1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6" t="s">
        <v>77</v>
      </c>
      <c r="B83" s="84" t="s">
        <v>25</v>
      </c>
      <c r="C83" s="47" t="s">
        <v>214</v>
      </c>
      <c r="D83" s="48">
        <v>0.0</v>
      </c>
      <c r="E83" s="19"/>
      <c r="F83" s="19"/>
      <c r="G83" s="48">
        <v>0.0</v>
      </c>
      <c r="H83" s="19"/>
      <c r="I83" s="19"/>
      <c r="J83" s="48">
        <v>0.0</v>
      </c>
      <c r="K83" s="19"/>
      <c r="L83" s="19"/>
      <c r="M83" s="11">
        <f t="shared" si="8"/>
        <v>0</v>
      </c>
      <c r="N83" s="70"/>
      <c r="O83" s="10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9" t="s">
        <v>235</v>
      </c>
      <c r="B84" s="84" t="s">
        <v>25</v>
      </c>
      <c r="C84" s="47" t="s">
        <v>236</v>
      </c>
      <c r="D84" s="50">
        <v>0.0</v>
      </c>
      <c r="E84" s="23"/>
      <c r="F84" s="23"/>
      <c r="G84" s="50">
        <v>0.0</v>
      </c>
      <c r="H84" s="23"/>
      <c r="I84" s="23"/>
      <c r="J84" s="50">
        <v>0.0</v>
      </c>
      <c r="K84" s="23"/>
      <c r="L84" s="23"/>
      <c r="M84" s="11">
        <f t="shared" si="8"/>
        <v>0</v>
      </c>
      <c r="N84" s="71"/>
      <c r="O84" s="1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6" t="s">
        <v>237</v>
      </c>
      <c r="B85" s="84" t="s">
        <v>25</v>
      </c>
      <c r="C85" s="47" t="s">
        <v>202</v>
      </c>
      <c r="D85" s="48">
        <v>1.0</v>
      </c>
      <c r="E85" s="19"/>
      <c r="F85" s="19"/>
      <c r="G85" s="48">
        <v>1.0</v>
      </c>
      <c r="H85" s="19"/>
      <c r="I85" s="19"/>
      <c r="J85" s="48">
        <v>1.0</v>
      </c>
      <c r="K85" s="19"/>
      <c r="L85" s="19"/>
      <c r="M85" s="11">
        <f t="shared" si="8"/>
        <v>0</v>
      </c>
      <c r="N85" s="70"/>
      <c r="O85" s="10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9" t="s">
        <v>238</v>
      </c>
      <c r="B86" s="84" t="s">
        <v>25</v>
      </c>
      <c r="C86" s="47" t="s">
        <v>239</v>
      </c>
      <c r="D86" s="50">
        <v>0.0</v>
      </c>
      <c r="E86" s="23"/>
      <c r="F86" s="23"/>
      <c r="G86" s="50">
        <v>0.0</v>
      </c>
      <c r="H86" s="23"/>
      <c r="I86" s="23"/>
      <c r="J86" s="50">
        <v>0.0</v>
      </c>
      <c r="K86" s="23"/>
      <c r="L86" s="23"/>
      <c r="M86" s="11">
        <f t="shared" si="8"/>
        <v>0</v>
      </c>
      <c r="N86" s="71"/>
      <c r="O86" s="1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6" t="s">
        <v>78</v>
      </c>
      <c r="B87" s="84" t="s">
        <v>25</v>
      </c>
      <c r="C87" s="47" t="s">
        <v>258</v>
      </c>
      <c r="D87" s="48">
        <v>1.0</v>
      </c>
      <c r="E87" s="19"/>
      <c r="F87" s="19"/>
      <c r="G87" s="48">
        <v>0.0</v>
      </c>
      <c r="H87" s="19"/>
      <c r="I87" s="19"/>
      <c r="J87" s="48">
        <v>0.0</v>
      </c>
      <c r="K87" s="19"/>
      <c r="L87" s="19"/>
      <c r="M87" s="11">
        <f t="shared" si="8"/>
        <v>0</v>
      </c>
      <c r="N87" s="70"/>
      <c r="O87" s="10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9" t="s">
        <v>79</v>
      </c>
      <c r="B88" s="84" t="s">
        <v>25</v>
      </c>
      <c r="C88" s="47" t="s">
        <v>248</v>
      </c>
      <c r="D88" s="50">
        <v>0.0</v>
      </c>
      <c r="E88" s="23"/>
      <c r="F88" s="23"/>
      <c r="G88" s="50">
        <v>0.0</v>
      </c>
      <c r="H88" s="23"/>
      <c r="I88" s="23"/>
      <c r="J88" s="50">
        <v>0.0</v>
      </c>
      <c r="K88" s="23"/>
      <c r="L88" s="23"/>
      <c r="M88" s="11">
        <f t="shared" si="8"/>
        <v>0</v>
      </c>
      <c r="N88" s="71"/>
      <c r="O88" s="1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6" t="s">
        <v>80</v>
      </c>
      <c r="B89" s="84" t="s">
        <v>25</v>
      </c>
      <c r="C89" s="47" t="s">
        <v>259</v>
      </c>
      <c r="D89" s="48">
        <v>0.0</v>
      </c>
      <c r="E89" s="19"/>
      <c r="F89" s="19"/>
      <c r="G89" s="48">
        <v>0.0</v>
      </c>
      <c r="H89" s="19"/>
      <c r="I89" s="19"/>
      <c r="J89" s="48">
        <v>0.0</v>
      </c>
      <c r="K89" s="19"/>
      <c r="L89" s="19"/>
      <c r="M89" s="11">
        <f t="shared" si="8"/>
        <v>0</v>
      </c>
      <c r="N89" s="70"/>
      <c r="O89" s="10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85" t="s">
        <v>222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11">
        <f>SUM(M81,M82,M83,M84,M85,M86,M87,M88,M89)</f>
        <v>0</v>
      </c>
      <c r="N90" s="86"/>
      <c r="O90" s="8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6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25" t="s">
        <v>223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0.0" customHeight="1">
      <c r="A93" s="5" t="s">
        <v>224</v>
      </c>
      <c r="B93" s="2"/>
      <c r="C93" s="2"/>
      <c r="D93" s="2"/>
      <c r="E93" s="3"/>
      <c r="F93" s="5" t="s">
        <v>225</v>
      </c>
      <c r="G93" s="3"/>
      <c r="H93" s="5" t="s">
        <v>226</v>
      </c>
      <c r="I93" s="2"/>
      <c r="J93" s="3"/>
      <c r="K93" s="5" t="s">
        <v>227</v>
      </c>
      <c r="L93" s="2"/>
      <c r="M93" s="2"/>
      <c r="N93" s="2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87"/>
      <c r="B94" s="2"/>
      <c r="C94" s="2"/>
      <c r="D94" s="2"/>
      <c r="E94" s="3"/>
      <c r="F94" s="87"/>
      <c r="G94" s="3"/>
      <c r="H94" s="87"/>
      <c r="I94" s="2"/>
      <c r="J94" s="3"/>
      <c r="K94" s="87"/>
      <c r="L94" s="2"/>
      <c r="M94" s="2"/>
      <c r="N94" s="2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88"/>
      <c r="B95" s="2"/>
      <c r="C95" s="2"/>
      <c r="D95" s="2"/>
      <c r="E95" s="3"/>
      <c r="F95" s="88"/>
      <c r="G95" s="3"/>
      <c r="H95" s="88"/>
      <c r="I95" s="2"/>
      <c r="J95" s="3"/>
      <c r="K95" s="88"/>
      <c r="L95" s="2"/>
      <c r="M95" s="2"/>
      <c r="N95" s="2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87"/>
      <c r="B96" s="2"/>
      <c r="C96" s="2"/>
      <c r="D96" s="2"/>
      <c r="E96" s="3"/>
      <c r="F96" s="87"/>
      <c r="G96" s="3"/>
      <c r="H96" s="87"/>
      <c r="I96" s="2"/>
      <c r="J96" s="3"/>
      <c r="K96" s="87"/>
      <c r="L96" s="2"/>
      <c r="M96" s="2"/>
      <c r="N96" s="2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88"/>
      <c r="B97" s="2"/>
      <c r="C97" s="2"/>
      <c r="D97" s="2"/>
      <c r="E97" s="3"/>
      <c r="F97" s="88"/>
      <c r="G97" s="3"/>
      <c r="H97" s="88"/>
      <c r="I97" s="2"/>
      <c r="J97" s="3"/>
      <c r="K97" s="88"/>
      <c r="L97" s="2"/>
      <c r="M97" s="2"/>
      <c r="N97" s="2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O1"/>
    <mergeCell ref="A2:O2"/>
    <mergeCell ref="B3:E3"/>
    <mergeCell ref="F3:I3"/>
    <mergeCell ref="J3:O3"/>
    <mergeCell ref="A5:O5"/>
    <mergeCell ref="A12:L12"/>
    <mergeCell ref="A14:O14"/>
    <mergeCell ref="A21:L21"/>
    <mergeCell ref="A23:O23"/>
    <mergeCell ref="A30:L30"/>
    <mergeCell ref="A32:O32"/>
    <mergeCell ref="A42:L42"/>
    <mergeCell ref="A44:O44"/>
    <mergeCell ref="A54:L54"/>
    <mergeCell ref="A56:O56"/>
    <mergeCell ref="A66:L66"/>
    <mergeCell ref="A68:O68"/>
    <mergeCell ref="A78:L78"/>
    <mergeCell ref="A80:O80"/>
    <mergeCell ref="A90:L90"/>
    <mergeCell ref="H94:J94"/>
    <mergeCell ref="K94:O94"/>
    <mergeCell ref="A92:O92"/>
    <mergeCell ref="A93:E93"/>
    <mergeCell ref="F93:G93"/>
    <mergeCell ref="H93:J93"/>
    <mergeCell ref="K93:O93"/>
    <mergeCell ref="A94:E94"/>
    <mergeCell ref="F94:G94"/>
    <mergeCell ref="A96:E96"/>
    <mergeCell ref="A97:E97"/>
    <mergeCell ref="F97:G97"/>
    <mergeCell ref="H97:J97"/>
    <mergeCell ref="K97:O97"/>
    <mergeCell ref="A95:E95"/>
    <mergeCell ref="F95:G95"/>
    <mergeCell ref="H95:J95"/>
    <mergeCell ref="K95:O95"/>
    <mergeCell ref="F96:G96"/>
    <mergeCell ref="H96:J96"/>
    <mergeCell ref="K96:O9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.0"/>
    <col customWidth="1" min="3" max="3" width="14.43"/>
    <col customWidth="1" min="4" max="4" width="7.0"/>
    <col customWidth="1" min="5" max="6" width="9.0"/>
    <col customWidth="1" min="7" max="7" width="7.0"/>
    <col customWidth="1" min="8" max="9" width="9.0"/>
    <col customWidth="1" min="10" max="10" width="7.0"/>
    <col customWidth="1" min="11" max="12" width="9.0"/>
    <col customWidth="1" min="13" max="13" width="15.0"/>
    <col customWidth="1" min="14" max="14" width="26.0"/>
    <col customWidth="1" min="15" max="15" width="10.57"/>
  </cols>
  <sheetData>
    <row r="1" ht="33.75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2" t="s">
        <v>262</v>
      </c>
      <c r="B3" s="43" t="s">
        <v>242</v>
      </c>
      <c r="C3" s="2"/>
      <c r="D3" s="2"/>
      <c r="E3" s="3"/>
      <c r="F3" s="43" t="s">
        <v>184</v>
      </c>
      <c r="G3" s="2"/>
      <c r="H3" s="2"/>
      <c r="I3" s="3"/>
      <c r="J3" s="29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5" t="s">
        <v>28</v>
      </c>
      <c r="B4" s="15" t="s">
        <v>185</v>
      </c>
      <c r="C4" s="15" t="s">
        <v>186</v>
      </c>
      <c r="D4" s="15" t="s">
        <v>187</v>
      </c>
      <c r="E4" s="44" t="s">
        <v>188</v>
      </c>
      <c r="F4" s="44" t="s">
        <v>263</v>
      </c>
      <c r="G4" s="15" t="s">
        <v>190</v>
      </c>
      <c r="H4" s="44" t="s">
        <v>191</v>
      </c>
      <c r="I4" s="44" t="s">
        <v>264</v>
      </c>
      <c r="J4" s="15" t="s">
        <v>193</v>
      </c>
      <c r="K4" s="44" t="s">
        <v>194</v>
      </c>
      <c r="L4" s="44" t="s">
        <v>245</v>
      </c>
      <c r="M4" s="15" t="s">
        <v>196</v>
      </c>
      <c r="N4" s="44" t="s">
        <v>197</v>
      </c>
      <c r="O4" s="15" t="s">
        <v>198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5" t="s">
        <v>199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46" t="s">
        <v>50</v>
      </c>
      <c r="B6" s="15" t="s">
        <v>18</v>
      </c>
      <c r="C6" s="47" t="s">
        <v>202</v>
      </c>
      <c r="D6" s="48">
        <v>0.0</v>
      </c>
      <c r="E6" s="19">
        <v>15.0</v>
      </c>
      <c r="F6" s="19">
        <v>8.0</v>
      </c>
      <c r="G6" s="48">
        <v>0.0</v>
      </c>
      <c r="H6" s="19">
        <v>15.0</v>
      </c>
      <c r="I6" s="19">
        <v>8.0</v>
      </c>
      <c r="J6" s="48">
        <v>0.0</v>
      </c>
      <c r="K6" s="19">
        <v>15.0</v>
      </c>
      <c r="L6" s="19">
        <v>8.0</v>
      </c>
      <c r="M6" s="11">
        <f t="shared" ref="M6:M15" si="1">IFERROR(IFERROR(E6*F6,0)+IFERROR(H6*I6,0)+IFERROR(K6*L6,0),0)</f>
        <v>360</v>
      </c>
      <c r="N6" s="10"/>
      <c r="O6" s="3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9" t="s">
        <v>51</v>
      </c>
      <c r="B7" s="15" t="s">
        <v>18</v>
      </c>
      <c r="C7" s="47" t="s">
        <v>202</v>
      </c>
      <c r="D7" s="50">
        <v>0.0</v>
      </c>
      <c r="E7" s="19">
        <v>15.0</v>
      </c>
      <c r="F7" s="19">
        <v>11.5</v>
      </c>
      <c r="G7" s="50">
        <v>0.0</v>
      </c>
      <c r="H7" s="19">
        <v>15.0</v>
      </c>
      <c r="I7" s="19">
        <v>11.5</v>
      </c>
      <c r="J7" s="50">
        <v>0.0</v>
      </c>
      <c r="K7" s="19">
        <v>15.0</v>
      </c>
      <c r="L7" s="19">
        <v>11.5</v>
      </c>
      <c r="M7" s="11">
        <f t="shared" si="1"/>
        <v>517.5</v>
      </c>
      <c r="N7" s="13"/>
      <c r="O7" s="3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6" t="s">
        <v>52</v>
      </c>
      <c r="B8" s="15" t="s">
        <v>18</v>
      </c>
      <c r="C8" s="47" t="s">
        <v>202</v>
      </c>
      <c r="D8" s="48">
        <v>0.0</v>
      </c>
      <c r="E8" s="19">
        <v>15.0</v>
      </c>
      <c r="F8" s="19">
        <v>20.0</v>
      </c>
      <c r="G8" s="48">
        <v>0.0</v>
      </c>
      <c r="H8" s="19">
        <v>15.0</v>
      </c>
      <c r="I8" s="19">
        <v>20.0</v>
      </c>
      <c r="J8" s="48">
        <v>0.0</v>
      </c>
      <c r="K8" s="19">
        <v>15.0</v>
      </c>
      <c r="L8" s="19">
        <v>20.0</v>
      </c>
      <c r="M8" s="11">
        <f t="shared" si="1"/>
        <v>900</v>
      </c>
      <c r="N8" s="10"/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9" t="s">
        <v>82</v>
      </c>
      <c r="B9" s="15" t="s">
        <v>18</v>
      </c>
      <c r="C9" s="47" t="s">
        <v>246</v>
      </c>
      <c r="D9" s="50">
        <v>1.0</v>
      </c>
      <c r="E9" s="23">
        <v>10.0</v>
      </c>
      <c r="F9" s="23">
        <v>20.0</v>
      </c>
      <c r="G9" s="50">
        <v>1.0</v>
      </c>
      <c r="H9" s="23">
        <v>10.0</v>
      </c>
      <c r="I9" s="23">
        <v>20.0</v>
      </c>
      <c r="J9" s="50">
        <v>1.0</v>
      </c>
      <c r="K9" s="23">
        <v>11.0</v>
      </c>
      <c r="L9" s="23">
        <v>20.0</v>
      </c>
      <c r="M9" s="11">
        <f t="shared" si="1"/>
        <v>620</v>
      </c>
      <c r="N9" s="13"/>
      <c r="O9" s="3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6" t="s">
        <v>83</v>
      </c>
      <c r="B10" s="15" t="s">
        <v>18</v>
      </c>
      <c r="C10" s="47" t="s">
        <v>257</v>
      </c>
      <c r="D10" s="48">
        <v>1.0</v>
      </c>
      <c r="E10" s="19">
        <v>11.0</v>
      </c>
      <c r="F10" s="19">
        <v>50.0</v>
      </c>
      <c r="G10" s="48">
        <v>1.0</v>
      </c>
      <c r="H10" s="19">
        <v>10.0</v>
      </c>
      <c r="I10" s="19">
        <v>50.0</v>
      </c>
      <c r="J10" s="48">
        <v>0.0</v>
      </c>
      <c r="K10" s="19">
        <v>9.0</v>
      </c>
      <c r="L10" s="19">
        <v>50.0</v>
      </c>
      <c r="M10" s="11">
        <f t="shared" si="1"/>
        <v>1500</v>
      </c>
      <c r="N10" s="51"/>
      <c r="O10" s="3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9" t="s">
        <v>84</v>
      </c>
      <c r="B11" s="15" t="s">
        <v>18</v>
      </c>
      <c r="C11" s="47" t="s">
        <v>201</v>
      </c>
      <c r="D11" s="50">
        <v>1.0</v>
      </c>
      <c r="E11" s="23">
        <v>15.0</v>
      </c>
      <c r="F11" s="23">
        <v>20.0</v>
      </c>
      <c r="G11" s="50">
        <v>0.0</v>
      </c>
      <c r="H11" s="23">
        <v>15.0</v>
      </c>
      <c r="I11" s="23">
        <v>20.0</v>
      </c>
      <c r="J11" s="50">
        <v>0.0</v>
      </c>
      <c r="K11" s="23">
        <v>15.0</v>
      </c>
      <c r="L11" s="23">
        <v>50.0</v>
      </c>
      <c r="M11" s="11">
        <f t="shared" si="1"/>
        <v>1350</v>
      </c>
      <c r="N11" s="51"/>
      <c r="O11" s="3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6" t="s">
        <v>85</v>
      </c>
      <c r="B12" s="15" t="s">
        <v>18</v>
      </c>
      <c r="C12" s="47" t="s">
        <v>232</v>
      </c>
      <c r="D12" s="48">
        <v>0.0</v>
      </c>
      <c r="E12" s="19">
        <v>12.0</v>
      </c>
      <c r="F12" s="19">
        <v>15.0</v>
      </c>
      <c r="G12" s="48">
        <v>0.0</v>
      </c>
      <c r="H12" s="19">
        <v>12.0</v>
      </c>
      <c r="I12" s="19">
        <v>15.0</v>
      </c>
      <c r="J12" s="48">
        <v>0.0</v>
      </c>
      <c r="K12" s="19">
        <v>12.0</v>
      </c>
      <c r="L12" s="19">
        <v>15.0</v>
      </c>
      <c r="M12" s="11">
        <f t="shared" si="1"/>
        <v>540</v>
      </c>
      <c r="N12" s="10"/>
      <c r="O12" s="3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9" t="s">
        <v>86</v>
      </c>
      <c r="B13" s="15" t="s">
        <v>18</v>
      </c>
      <c r="C13" s="47" t="s">
        <v>214</v>
      </c>
      <c r="D13" s="50">
        <v>0.0</v>
      </c>
      <c r="E13" s="23">
        <v>18.0</v>
      </c>
      <c r="F13" s="23">
        <v>77.5</v>
      </c>
      <c r="G13" s="50">
        <v>0.0</v>
      </c>
      <c r="H13" s="23">
        <v>16.0</v>
      </c>
      <c r="I13" s="23">
        <v>77.5</v>
      </c>
      <c r="J13" s="50">
        <v>0.0</v>
      </c>
      <c r="K13" s="23">
        <v>13.0</v>
      </c>
      <c r="L13" s="23">
        <v>77.5</v>
      </c>
      <c r="M13" s="11">
        <f t="shared" si="1"/>
        <v>3642.5</v>
      </c>
      <c r="N13" s="51"/>
      <c r="O13" s="3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6" t="s">
        <v>87</v>
      </c>
      <c r="B14" s="15" t="s">
        <v>18</v>
      </c>
      <c r="C14" s="47" t="s">
        <v>201</v>
      </c>
      <c r="D14" s="48">
        <v>1.0</v>
      </c>
      <c r="E14" s="19">
        <v>12.0</v>
      </c>
      <c r="F14" s="19">
        <v>20.0</v>
      </c>
      <c r="G14" s="48">
        <v>0.0</v>
      </c>
      <c r="H14" s="19">
        <v>13.0</v>
      </c>
      <c r="I14" s="19">
        <v>20.0</v>
      </c>
      <c r="J14" s="48">
        <v>0.0</v>
      </c>
      <c r="K14" s="19">
        <v>11.0</v>
      </c>
      <c r="L14" s="19">
        <v>20.0</v>
      </c>
      <c r="M14" s="11">
        <f t="shared" si="1"/>
        <v>720</v>
      </c>
      <c r="N14" s="51"/>
      <c r="O14" s="3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9" t="s">
        <v>53</v>
      </c>
      <c r="B15" s="15" t="s">
        <v>18</v>
      </c>
      <c r="C15" s="47" t="s">
        <v>203</v>
      </c>
      <c r="D15" s="50">
        <v>0.0</v>
      </c>
      <c r="E15" s="23">
        <v>15.0</v>
      </c>
      <c r="F15" s="23">
        <v>57.5</v>
      </c>
      <c r="G15" s="50">
        <v>0.0</v>
      </c>
      <c r="H15" s="23">
        <v>14.0</v>
      </c>
      <c r="I15" s="23">
        <v>62.5</v>
      </c>
      <c r="J15" s="50">
        <v>0.0</v>
      </c>
      <c r="K15" s="23">
        <v>14.0</v>
      </c>
      <c r="L15" s="23">
        <v>62.5</v>
      </c>
      <c r="M15" s="11">
        <f t="shared" si="1"/>
        <v>2612.5</v>
      </c>
      <c r="N15" s="51"/>
      <c r="O15" s="3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52" t="s">
        <v>204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11">
        <f>SUM(M6,M7,M8,M9,M10,M11,M12,M13,M14,M15)</f>
        <v>12762.5</v>
      </c>
      <c r="N16" s="53"/>
      <c r="O16" s="5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54" t="s">
        <v>205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6" t="s">
        <v>50</v>
      </c>
      <c r="B19" s="55" t="s">
        <v>19</v>
      </c>
      <c r="C19" s="47" t="s">
        <v>202</v>
      </c>
      <c r="D19" s="48">
        <v>0.0</v>
      </c>
      <c r="E19" s="19">
        <v>15.0</v>
      </c>
      <c r="F19" s="19">
        <v>8.0</v>
      </c>
      <c r="G19" s="48">
        <v>0.0</v>
      </c>
      <c r="H19" s="19">
        <v>15.0</v>
      </c>
      <c r="I19" s="19">
        <v>8.0</v>
      </c>
      <c r="J19" s="48">
        <v>0.0</v>
      </c>
      <c r="K19" s="19">
        <v>15.0</v>
      </c>
      <c r="L19" s="19">
        <v>8.0</v>
      </c>
      <c r="M19" s="11">
        <f t="shared" ref="M19:M28" si="2">IFERROR(IFERROR(E19*F19,0)+IFERROR(H19*I19,0)+IFERROR(K19*L19,0),0)</f>
        <v>360</v>
      </c>
      <c r="N19" s="10"/>
      <c r="O19" s="3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9" t="s">
        <v>51</v>
      </c>
      <c r="B20" s="55" t="s">
        <v>19</v>
      </c>
      <c r="C20" s="47" t="s">
        <v>202</v>
      </c>
      <c r="D20" s="50">
        <v>0.0</v>
      </c>
      <c r="E20" s="23">
        <v>15.0</v>
      </c>
      <c r="F20" s="23">
        <v>11.5</v>
      </c>
      <c r="G20" s="50">
        <v>0.0</v>
      </c>
      <c r="H20" s="23">
        <v>15.0</v>
      </c>
      <c r="I20" s="23">
        <v>11.5</v>
      </c>
      <c r="J20" s="50">
        <v>0.0</v>
      </c>
      <c r="K20" s="23">
        <v>15.0</v>
      </c>
      <c r="L20" s="23">
        <v>11.5</v>
      </c>
      <c r="M20" s="11">
        <f t="shared" si="2"/>
        <v>517.5</v>
      </c>
      <c r="N20" s="13"/>
      <c r="O20" s="3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6" t="s">
        <v>52</v>
      </c>
      <c r="B21" s="55" t="s">
        <v>19</v>
      </c>
      <c r="C21" s="47" t="s">
        <v>202</v>
      </c>
      <c r="D21" s="48">
        <v>0.0</v>
      </c>
      <c r="E21" s="19">
        <v>15.0</v>
      </c>
      <c r="F21" s="19">
        <v>15.0</v>
      </c>
      <c r="G21" s="48">
        <v>0.0</v>
      </c>
      <c r="H21" s="19">
        <v>15.0</v>
      </c>
      <c r="I21" s="19">
        <v>15.0</v>
      </c>
      <c r="J21" s="48">
        <v>0.0</v>
      </c>
      <c r="K21" s="19">
        <v>15.0</v>
      </c>
      <c r="L21" s="19">
        <v>15.0</v>
      </c>
      <c r="M21" s="11">
        <f t="shared" si="2"/>
        <v>675</v>
      </c>
      <c r="N21" s="10"/>
      <c r="O21" s="3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9" t="s">
        <v>82</v>
      </c>
      <c r="B22" s="55" t="s">
        <v>19</v>
      </c>
      <c r="C22" s="47" t="s">
        <v>246</v>
      </c>
      <c r="D22" s="50">
        <v>1.0</v>
      </c>
      <c r="E22" s="23">
        <v>10.0</v>
      </c>
      <c r="F22" s="23">
        <v>20.0</v>
      </c>
      <c r="G22" s="50">
        <v>1.0</v>
      </c>
      <c r="H22" s="23">
        <v>10.0</v>
      </c>
      <c r="I22" s="23">
        <v>20.0</v>
      </c>
      <c r="J22" s="50">
        <v>1.0</v>
      </c>
      <c r="K22" s="23">
        <v>10.0</v>
      </c>
      <c r="L22" s="23">
        <v>20.0</v>
      </c>
      <c r="M22" s="11">
        <f t="shared" si="2"/>
        <v>600</v>
      </c>
      <c r="N22" s="13"/>
      <c r="O22" s="3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6" t="s">
        <v>83</v>
      </c>
      <c r="B23" s="55" t="s">
        <v>19</v>
      </c>
      <c r="C23" s="47" t="s">
        <v>257</v>
      </c>
      <c r="D23" s="48">
        <v>1.0</v>
      </c>
      <c r="E23" s="19">
        <v>12.0</v>
      </c>
      <c r="F23" s="19">
        <v>50.0</v>
      </c>
      <c r="G23" s="48">
        <v>1.0</v>
      </c>
      <c r="H23" s="19">
        <v>8.0</v>
      </c>
      <c r="I23" s="19">
        <v>60.0</v>
      </c>
      <c r="J23" s="48">
        <v>0.0</v>
      </c>
      <c r="K23" s="19">
        <v>9.0</v>
      </c>
      <c r="L23" s="19">
        <v>60.0</v>
      </c>
      <c r="M23" s="11">
        <f t="shared" si="2"/>
        <v>1620</v>
      </c>
      <c r="N23" s="51"/>
      <c r="O23" s="3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9" t="s">
        <v>84</v>
      </c>
      <c r="B24" s="55" t="s">
        <v>19</v>
      </c>
      <c r="C24" s="47" t="s">
        <v>201</v>
      </c>
      <c r="D24" s="50">
        <v>1.0</v>
      </c>
      <c r="E24" s="23">
        <v>13.0</v>
      </c>
      <c r="F24" s="23">
        <v>20.0</v>
      </c>
      <c r="G24" s="50">
        <v>0.0</v>
      </c>
      <c r="H24" s="23">
        <v>13.0</v>
      </c>
      <c r="I24" s="23">
        <v>20.0</v>
      </c>
      <c r="J24" s="50">
        <v>0.0</v>
      </c>
      <c r="K24" s="23">
        <v>12.0</v>
      </c>
      <c r="L24" s="23">
        <v>20.0</v>
      </c>
      <c r="M24" s="11">
        <f t="shared" si="2"/>
        <v>760</v>
      </c>
      <c r="N24" s="51"/>
      <c r="O24" s="3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6" t="s">
        <v>85</v>
      </c>
      <c r="B25" s="55" t="s">
        <v>19</v>
      </c>
      <c r="C25" s="47" t="s">
        <v>232</v>
      </c>
      <c r="D25" s="48">
        <v>0.0</v>
      </c>
      <c r="E25" s="19">
        <v>12.0</v>
      </c>
      <c r="F25" s="19">
        <v>15.0</v>
      </c>
      <c r="G25" s="48">
        <v>0.0</v>
      </c>
      <c r="H25" s="19">
        <v>12.0</v>
      </c>
      <c r="I25" s="19">
        <v>15.0</v>
      </c>
      <c r="J25" s="48">
        <v>0.0</v>
      </c>
      <c r="K25" s="19">
        <v>12.0</v>
      </c>
      <c r="L25" s="19">
        <v>15.0</v>
      </c>
      <c r="M25" s="11">
        <f t="shared" si="2"/>
        <v>540</v>
      </c>
      <c r="N25" s="10"/>
      <c r="O25" s="3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9" t="s">
        <v>86</v>
      </c>
      <c r="B26" s="55" t="s">
        <v>19</v>
      </c>
      <c r="C26" s="47" t="s">
        <v>214</v>
      </c>
      <c r="D26" s="50">
        <v>0.0</v>
      </c>
      <c r="E26" s="23">
        <v>18.0</v>
      </c>
      <c r="F26" s="23">
        <v>77.5</v>
      </c>
      <c r="G26" s="50">
        <v>0.0</v>
      </c>
      <c r="H26" s="23">
        <v>18.0</v>
      </c>
      <c r="I26" s="23">
        <v>77.5</v>
      </c>
      <c r="J26" s="50">
        <v>0.0</v>
      </c>
      <c r="K26" s="23">
        <v>18.0</v>
      </c>
      <c r="L26" s="23">
        <v>77.5</v>
      </c>
      <c r="M26" s="11">
        <f t="shared" si="2"/>
        <v>4185</v>
      </c>
      <c r="N26" s="51"/>
      <c r="O26" s="3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6" t="s">
        <v>87</v>
      </c>
      <c r="B27" s="55" t="s">
        <v>19</v>
      </c>
      <c r="C27" s="47" t="s">
        <v>201</v>
      </c>
      <c r="D27" s="48">
        <v>1.0</v>
      </c>
      <c r="E27" s="19">
        <v>15.0</v>
      </c>
      <c r="F27" s="19">
        <v>20.0</v>
      </c>
      <c r="G27" s="48">
        <v>0.0</v>
      </c>
      <c r="H27" s="19">
        <v>13.0</v>
      </c>
      <c r="I27" s="19">
        <v>20.0</v>
      </c>
      <c r="J27" s="48">
        <v>0.0</v>
      </c>
      <c r="K27" s="19">
        <v>10.0</v>
      </c>
      <c r="L27" s="19">
        <v>20.0</v>
      </c>
      <c r="M27" s="11">
        <f t="shared" si="2"/>
        <v>760</v>
      </c>
      <c r="N27" s="51"/>
      <c r="O27" s="3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9" t="s">
        <v>53</v>
      </c>
      <c r="B28" s="55" t="s">
        <v>19</v>
      </c>
      <c r="C28" s="47" t="s">
        <v>203</v>
      </c>
      <c r="D28" s="50">
        <v>0.0</v>
      </c>
      <c r="E28" s="23">
        <v>18.0</v>
      </c>
      <c r="F28" s="23">
        <v>57.5</v>
      </c>
      <c r="G28" s="50">
        <v>0.0</v>
      </c>
      <c r="H28" s="23">
        <v>16.0</v>
      </c>
      <c r="I28" s="23">
        <v>57.5</v>
      </c>
      <c r="J28" s="50">
        <v>0.0</v>
      </c>
      <c r="K28" s="23">
        <v>16.0</v>
      </c>
      <c r="L28" s="23">
        <v>57.5</v>
      </c>
      <c r="M28" s="11">
        <f t="shared" si="2"/>
        <v>2875</v>
      </c>
      <c r="N28" s="51"/>
      <c r="O28" s="3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58" t="s">
        <v>207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11">
        <f>SUM(M19,M20,M21,M22,M23,M24,M25,M26,M27,M28)</f>
        <v>12892.5</v>
      </c>
      <c r="N29" s="59"/>
      <c r="O29" s="5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0" t="s">
        <v>208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6" t="s">
        <v>50</v>
      </c>
      <c r="B32" s="61" t="s">
        <v>20</v>
      </c>
      <c r="C32" s="47" t="s">
        <v>202</v>
      </c>
      <c r="D32" s="48">
        <v>0.0</v>
      </c>
      <c r="E32" s="19">
        <v>15.0</v>
      </c>
      <c r="F32" s="19">
        <v>10.0</v>
      </c>
      <c r="G32" s="48">
        <v>0.0</v>
      </c>
      <c r="H32" s="19">
        <v>13.0</v>
      </c>
      <c r="I32" s="19">
        <v>10.0</v>
      </c>
      <c r="J32" s="48">
        <v>0.0</v>
      </c>
      <c r="K32" s="19">
        <v>13.0</v>
      </c>
      <c r="L32" s="19">
        <v>10.0</v>
      </c>
      <c r="M32" s="11">
        <f t="shared" ref="M32:M41" si="3">IFERROR(IFERROR(E32*F32,0)+IFERROR(H32*I32,0)+IFERROR(K32*L32,0),0)</f>
        <v>410</v>
      </c>
      <c r="N32" s="10"/>
      <c r="O32" s="3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9" t="s">
        <v>51</v>
      </c>
      <c r="B33" s="61" t="s">
        <v>20</v>
      </c>
      <c r="C33" s="47" t="s">
        <v>202</v>
      </c>
      <c r="D33" s="50">
        <v>0.0</v>
      </c>
      <c r="E33" s="23">
        <v>12.0</v>
      </c>
      <c r="F33" s="23">
        <v>15.0</v>
      </c>
      <c r="G33" s="50">
        <v>0.0</v>
      </c>
      <c r="H33" s="23">
        <v>12.0</v>
      </c>
      <c r="I33" s="23">
        <v>15.0</v>
      </c>
      <c r="J33" s="50">
        <v>0.0</v>
      </c>
      <c r="K33" s="23">
        <v>12.0</v>
      </c>
      <c r="L33" s="23">
        <v>15.0</v>
      </c>
      <c r="M33" s="11">
        <f t="shared" si="3"/>
        <v>540</v>
      </c>
      <c r="N33" s="13"/>
      <c r="O33" s="3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6" t="s">
        <v>52</v>
      </c>
      <c r="B34" s="61" t="s">
        <v>20</v>
      </c>
      <c r="C34" s="47" t="s">
        <v>202</v>
      </c>
      <c r="D34" s="48">
        <v>0.0</v>
      </c>
      <c r="E34" s="19">
        <v>12.0</v>
      </c>
      <c r="F34" s="19">
        <v>20.0</v>
      </c>
      <c r="G34" s="48">
        <v>0.0</v>
      </c>
      <c r="H34" s="19">
        <v>12.0</v>
      </c>
      <c r="I34" s="19">
        <v>20.0</v>
      </c>
      <c r="J34" s="48">
        <v>0.0</v>
      </c>
      <c r="K34" s="19">
        <v>12.0</v>
      </c>
      <c r="L34" s="19">
        <v>20.0</v>
      </c>
      <c r="M34" s="11">
        <f t="shared" si="3"/>
        <v>720</v>
      </c>
      <c r="N34" s="10"/>
      <c r="O34" s="3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9" t="s">
        <v>82</v>
      </c>
      <c r="B35" s="61" t="s">
        <v>20</v>
      </c>
      <c r="C35" s="47" t="s">
        <v>246</v>
      </c>
      <c r="D35" s="50">
        <v>1.0</v>
      </c>
      <c r="E35" s="23">
        <v>8.0</v>
      </c>
      <c r="F35" s="23">
        <v>27.5</v>
      </c>
      <c r="G35" s="50">
        <v>1.0</v>
      </c>
      <c r="H35" s="23">
        <v>8.0</v>
      </c>
      <c r="I35" s="23">
        <v>27.5</v>
      </c>
      <c r="J35" s="50">
        <v>1.0</v>
      </c>
      <c r="K35" s="23">
        <v>8.0</v>
      </c>
      <c r="L35" s="23">
        <v>27.5</v>
      </c>
      <c r="M35" s="11">
        <f t="shared" si="3"/>
        <v>660</v>
      </c>
      <c r="N35" s="13"/>
      <c r="O35" s="3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6" t="s">
        <v>83</v>
      </c>
      <c r="B36" s="61" t="s">
        <v>20</v>
      </c>
      <c r="C36" s="47" t="s">
        <v>257</v>
      </c>
      <c r="D36" s="48">
        <v>1.0</v>
      </c>
      <c r="E36" s="19">
        <v>10.0</v>
      </c>
      <c r="F36" s="19">
        <v>60.0</v>
      </c>
      <c r="G36" s="48">
        <v>1.0</v>
      </c>
      <c r="H36" s="19">
        <v>10.0</v>
      </c>
      <c r="I36" s="19">
        <v>60.0</v>
      </c>
      <c r="J36" s="48">
        <v>0.0</v>
      </c>
      <c r="K36" s="19">
        <v>10.0</v>
      </c>
      <c r="L36" s="19">
        <v>60.0</v>
      </c>
      <c r="M36" s="11">
        <f t="shared" si="3"/>
        <v>1800</v>
      </c>
      <c r="N36" s="51"/>
      <c r="O36" s="3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9" t="s">
        <v>84</v>
      </c>
      <c r="B37" s="61" t="s">
        <v>20</v>
      </c>
      <c r="C37" s="47" t="s">
        <v>201</v>
      </c>
      <c r="D37" s="50">
        <v>1.0</v>
      </c>
      <c r="E37" s="23">
        <v>12.0</v>
      </c>
      <c r="F37" s="23">
        <v>25.0</v>
      </c>
      <c r="G37" s="50">
        <v>0.0</v>
      </c>
      <c r="H37" s="23">
        <v>12.0</v>
      </c>
      <c r="I37" s="23">
        <v>25.0</v>
      </c>
      <c r="J37" s="50">
        <v>0.0</v>
      </c>
      <c r="K37" s="23">
        <v>12.0</v>
      </c>
      <c r="L37" s="23">
        <v>25.0</v>
      </c>
      <c r="M37" s="11">
        <f t="shared" si="3"/>
        <v>900</v>
      </c>
      <c r="N37" s="51"/>
      <c r="O37" s="3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6" t="s">
        <v>85</v>
      </c>
      <c r="B38" s="61" t="s">
        <v>20</v>
      </c>
      <c r="C38" s="47" t="s">
        <v>232</v>
      </c>
      <c r="D38" s="48">
        <v>0.0</v>
      </c>
      <c r="E38" s="19">
        <v>12.0</v>
      </c>
      <c r="F38" s="19">
        <v>20.0</v>
      </c>
      <c r="G38" s="48">
        <v>0.0</v>
      </c>
      <c r="H38" s="19">
        <v>12.0</v>
      </c>
      <c r="I38" s="19">
        <v>20.0</v>
      </c>
      <c r="J38" s="48">
        <v>0.0</v>
      </c>
      <c r="K38" s="19">
        <v>12.0</v>
      </c>
      <c r="L38" s="19">
        <v>20.0</v>
      </c>
      <c r="M38" s="11">
        <f t="shared" si="3"/>
        <v>720</v>
      </c>
      <c r="N38" s="10"/>
      <c r="O38" s="3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9" t="s">
        <v>86</v>
      </c>
      <c r="B39" s="61" t="s">
        <v>20</v>
      </c>
      <c r="C39" s="47" t="s">
        <v>214</v>
      </c>
      <c r="D39" s="50">
        <v>0.0</v>
      </c>
      <c r="E39" s="23">
        <v>12.0</v>
      </c>
      <c r="F39" s="23">
        <v>77.5</v>
      </c>
      <c r="G39" s="50">
        <v>0.0</v>
      </c>
      <c r="H39" s="23">
        <v>12.0</v>
      </c>
      <c r="I39" s="23">
        <v>77.5</v>
      </c>
      <c r="J39" s="50">
        <v>0.0</v>
      </c>
      <c r="K39" s="23">
        <v>12.0</v>
      </c>
      <c r="L39" s="23">
        <v>77.5</v>
      </c>
      <c r="M39" s="11">
        <f t="shared" si="3"/>
        <v>2790</v>
      </c>
      <c r="N39" s="51"/>
      <c r="O39" s="3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6" t="s">
        <v>87</v>
      </c>
      <c r="B40" s="61" t="s">
        <v>20</v>
      </c>
      <c r="C40" s="47" t="s">
        <v>201</v>
      </c>
      <c r="D40" s="48">
        <v>1.0</v>
      </c>
      <c r="E40" s="19">
        <v>15.0</v>
      </c>
      <c r="F40" s="19">
        <v>20.0</v>
      </c>
      <c r="G40" s="48">
        <v>0.0</v>
      </c>
      <c r="H40" s="19">
        <v>13.0</v>
      </c>
      <c r="I40" s="19">
        <v>20.0</v>
      </c>
      <c r="J40" s="48">
        <v>0.0</v>
      </c>
      <c r="K40" s="19">
        <v>12.0</v>
      </c>
      <c r="L40" s="19">
        <v>25.0</v>
      </c>
      <c r="M40" s="11">
        <f t="shared" si="3"/>
        <v>860</v>
      </c>
      <c r="N40" s="51"/>
      <c r="O40" s="3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9" t="s">
        <v>53</v>
      </c>
      <c r="B41" s="61" t="s">
        <v>20</v>
      </c>
      <c r="C41" s="47" t="s">
        <v>203</v>
      </c>
      <c r="D41" s="50">
        <v>0.0</v>
      </c>
      <c r="E41" s="23">
        <v>18.0</v>
      </c>
      <c r="F41" s="23">
        <v>57.5</v>
      </c>
      <c r="G41" s="50">
        <v>0.0</v>
      </c>
      <c r="H41" s="23">
        <v>17.0</v>
      </c>
      <c r="I41" s="23">
        <v>57.5</v>
      </c>
      <c r="J41" s="50">
        <v>0.0</v>
      </c>
      <c r="K41" s="23">
        <v>15.0</v>
      </c>
      <c r="L41" s="23">
        <v>57.5</v>
      </c>
      <c r="M41" s="11">
        <f t="shared" si="3"/>
        <v>2875</v>
      </c>
      <c r="N41" s="51"/>
      <c r="O41" s="3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2" t="s">
        <v>209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11">
        <f>SUM(M32,M33,M34,M35,M36,M37,M38,M39,M40,M41)</f>
        <v>12275</v>
      </c>
      <c r="N42" s="63"/>
      <c r="O42" s="6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4" t="s">
        <v>210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6" t="s">
        <v>50</v>
      </c>
      <c r="B45" s="65" t="s">
        <v>21</v>
      </c>
      <c r="C45" s="47" t="s">
        <v>202</v>
      </c>
      <c r="D45" s="48">
        <v>0.0</v>
      </c>
      <c r="E45" s="19">
        <v>15.0</v>
      </c>
      <c r="F45" s="19">
        <v>10.0</v>
      </c>
      <c r="G45" s="48">
        <v>0.0</v>
      </c>
      <c r="H45" s="31">
        <v>15.0</v>
      </c>
      <c r="I45" s="31">
        <v>10.0</v>
      </c>
      <c r="J45" s="48">
        <v>0.0</v>
      </c>
      <c r="K45" s="31">
        <v>15.0</v>
      </c>
      <c r="L45" s="31">
        <v>10.0</v>
      </c>
      <c r="M45" s="11">
        <f t="shared" ref="M45:M54" si="4">IFERROR(IFERROR(E45*F45,0)+IFERROR(H45*I45,0)+IFERROR(K45*L45,0),0)</f>
        <v>450</v>
      </c>
      <c r="N45" s="10"/>
      <c r="O45" s="32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9" t="s">
        <v>51</v>
      </c>
      <c r="B46" s="65" t="s">
        <v>21</v>
      </c>
      <c r="C46" s="47" t="s">
        <v>202</v>
      </c>
      <c r="D46" s="50">
        <v>0.0</v>
      </c>
      <c r="E46" s="23">
        <v>12.0</v>
      </c>
      <c r="F46" s="23">
        <v>15.0</v>
      </c>
      <c r="G46" s="50">
        <v>0.0</v>
      </c>
      <c r="H46" s="33">
        <v>12.0</v>
      </c>
      <c r="I46" s="33">
        <v>15.0</v>
      </c>
      <c r="J46" s="50">
        <v>0.0</v>
      </c>
      <c r="K46" s="33">
        <v>12.0</v>
      </c>
      <c r="L46" s="33">
        <v>15.0</v>
      </c>
      <c r="M46" s="11">
        <f t="shared" si="4"/>
        <v>540</v>
      </c>
      <c r="N46" s="13"/>
      <c r="O46" s="3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6" t="s">
        <v>52</v>
      </c>
      <c r="B47" s="65" t="s">
        <v>21</v>
      </c>
      <c r="C47" s="47" t="s">
        <v>202</v>
      </c>
      <c r="D47" s="48">
        <v>0.0</v>
      </c>
      <c r="E47" s="19">
        <v>12.0</v>
      </c>
      <c r="F47" s="19">
        <v>20.0</v>
      </c>
      <c r="G47" s="48">
        <v>0.0</v>
      </c>
      <c r="H47" s="31">
        <v>12.0</v>
      </c>
      <c r="I47" s="31">
        <v>20.0</v>
      </c>
      <c r="J47" s="48">
        <v>0.0</v>
      </c>
      <c r="K47" s="31">
        <v>12.0</v>
      </c>
      <c r="L47" s="31">
        <v>20.0</v>
      </c>
      <c r="M47" s="11">
        <f t="shared" si="4"/>
        <v>720</v>
      </c>
      <c r="N47" s="10"/>
      <c r="O47" s="32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9" t="s">
        <v>82</v>
      </c>
      <c r="B48" s="65" t="s">
        <v>21</v>
      </c>
      <c r="C48" s="47" t="s">
        <v>246</v>
      </c>
      <c r="D48" s="50">
        <v>1.0</v>
      </c>
      <c r="E48" s="23">
        <v>8.0</v>
      </c>
      <c r="F48" s="23">
        <v>27.5</v>
      </c>
      <c r="G48" s="50">
        <v>1.0</v>
      </c>
      <c r="H48" s="33">
        <v>8.0</v>
      </c>
      <c r="I48" s="33">
        <v>27.5</v>
      </c>
      <c r="J48" s="50">
        <v>1.0</v>
      </c>
      <c r="K48" s="33">
        <v>8.0</v>
      </c>
      <c r="L48" s="33">
        <v>27.5</v>
      </c>
      <c r="M48" s="11">
        <f t="shared" si="4"/>
        <v>660</v>
      </c>
      <c r="N48" s="13"/>
      <c r="O48" s="3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6" t="s">
        <v>83</v>
      </c>
      <c r="B49" s="65" t="s">
        <v>21</v>
      </c>
      <c r="C49" s="47" t="s">
        <v>257</v>
      </c>
      <c r="D49" s="48">
        <v>1.0</v>
      </c>
      <c r="E49" s="19">
        <v>10.0</v>
      </c>
      <c r="F49" s="19">
        <v>60.0</v>
      </c>
      <c r="G49" s="48">
        <v>1.0</v>
      </c>
      <c r="H49" s="31">
        <v>10.0</v>
      </c>
      <c r="I49" s="31">
        <v>60.0</v>
      </c>
      <c r="J49" s="48">
        <v>0.0</v>
      </c>
      <c r="K49" s="31">
        <v>10.0</v>
      </c>
      <c r="L49" s="31">
        <v>60.0</v>
      </c>
      <c r="M49" s="11">
        <f t="shared" si="4"/>
        <v>1800</v>
      </c>
      <c r="N49" s="51"/>
      <c r="O49" s="32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9" t="s">
        <v>84</v>
      </c>
      <c r="B50" s="65" t="s">
        <v>21</v>
      </c>
      <c r="C50" s="47" t="s">
        <v>201</v>
      </c>
      <c r="D50" s="50">
        <v>1.0</v>
      </c>
      <c r="E50" s="23">
        <v>12.0</v>
      </c>
      <c r="F50" s="23">
        <v>25.0</v>
      </c>
      <c r="G50" s="50">
        <v>0.0</v>
      </c>
      <c r="H50" s="33">
        <v>12.0</v>
      </c>
      <c r="I50" s="33">
        <v>25.0</v>
      </c>
      <c r="J50" s="50">
        <v>0.0</v>
      </c>
      <c r="K50" s="33">
        <v>12.0</v>
      </c>
      <c r="L50" s="33">
        <v>25.0</v>
      </c>
      <c r="M50" s="11">
        <f t="shared" si="4"/>
        <v>900</v>
      </c>
      <c r="N50" s="51"/>
      <c r="O50" s="3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6" t="s">
        <v>85</v>
      </c>
      <c r="B51" s="65" t="s">
        <v>21</v>
      </c>
      <c r="C51" s="47" t="s">
        <v>232</v>
      </c>
      <c r="D51" s="48">
        <v>0.0</v>
      </c>
      <c r="E51" s="19">
        <v>12.0</v>
      </c>
      <c r="F51" s="19">
        <v>20.0</v>
      </c>
      <c r="G51" s="48">
        <v>0.0</v>
      </c>
      <c r="H51" s="31">
        <v>12.0</v>
      </c>
      <c r="I51" s="31">
        <v>20.0</v>
      </c>
      <c r="J51" s="48">
        <v>0.0</v>
      </c>
      <c r="K51" s="31">
        <v>12.0</v>
      </c>
      <c r="L51" s="31">
        <v>20.0</v>
      </c>
      <c r="M51" s="11">
        <f t="shared" si="4"/>
        <v>720</v>
      </c>
      <c r="N51" s="10"/>
      <c r="O51" s="32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9" t="s">
        <v>86</v>
      </c>
      <c r="B52" s="65" t="s">
        <v>21</v>
      </c>
      <c r="C52" s="47" t="s">
        <v>214</v>
      </c>
      <c r="D52" s="50">
        <v>0.0</v>
      </c>
      <c r="E52" s="23">
        <v>12.0</v>
      </c>
      <c r="F52" s="23">
        <v>77.5</v>
      </c>
      <c r="G52" s="50">
        <v>0.0</v>
      </c>
      <c r="H52" s="33">
        <v>12.0</v>
      </c>
      <c r="I52" s="33">
        <v>77.5</v>
      </c>
      <c r="J52" s="50">
        <v>0.0</v>
      </c>
      <c r="K52" s="33">
        <v>12.0</v>
      </c>
      <c r="L52" s="33">
        <v>77.5</v>
      </c>
      <c r="M52" s="11">
        <f t="shared" si="4"/>
        <v>2790</v>
      </c>
      <c r="N52" s="51"/>
      <c r="O52" s="3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6" t="s">
        <v>87</v>
      </c>
      <c r="B53" s="65" t="s">
        <v>21</v>
      </c>
      <c r="C53" s="47" t="s">
        <v>201</v>
      </c>
      <c r="D53" s="48">
        <v>1.0</v>
      </c>
      <c r="E53" s="19">
        <v>15.0</v>
      </c>
      <c r="F53" s="19">
        <v>20.0</v>
      </c>
      <c r="G53" s="48">
        <v>0.0</v>
      </c>
      <c r="H53" s="31">
        <v>15.0</v>
      </c>
      <c r="I53" s="31">
        <v>20.0</v>
      </c>
      <c r="J53" s="48">
        <v>0.0</v>
      </c>
      <c r="K53" s="31">
        <v>15.0</v>
      </c>
      <c r="L53" s="31">
        <v>20.0</v>
      </c>
      <c r="M53" s="11">
        <f t="shared" si="4"/>
        <v>900</v>
      </c>
      <c r="N53" s="51"/>
      <c r="O53" s="32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9" t="s">
        <v>53</v>
      </c>
      <c r="B54" s="65" t="s">
        <v>21</v>
      </c>
      <c r="C54" s="47" t="s">
        <v>203</v>
      </c>
      <c r="D54" s="50">
        <v>0.0</v>
      </c>
      <c r="E54" s="23">
        <v>18.0</v>
      </c>
      <c r="F54" s="23">
        <v>57.5</v>
      </c>
      <c r="G54" s="50">
        <v>0.0</v>
      </c>
      <c r="H54" s="33">
        <v>18.0</v>
      </c>
      <c r="I54" s="33">
        <v>57.5</v>
      </c>
      <c r="J54" s="50">
        <v>0.0</v>
      </c>
      <c r="K54" s="33">
        <v>18.0</v>
      </c>
      <c r="L54" s="33">
        <v>57.5</v>
      </c>
      <c r="M54" s="11">
        <f t="shared" si="4"/>
        <v>3105</v>
      </c>
      <c r="N54" s="51"/>
      <c r="O54" s="3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6" t="s">
        <v>211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11">
        <f>SUM(M45,M46,M47,M48,M49,M50,M51,M52,M53,M54)</f>
        <v>12585</v>
      </c>
      <c r="N55" s="67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8" t="s">
        <v>212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6" t="s">
        <v>50</v>
      </c>
      <c r="B58" s="69" t="s">
        <v>22</v>
      </c>
      <c r="C58" s="47" t="s">
        <v>202</v>
      </c>
      <c r="D58" s="48">
        <v>0.0</v>
      </c>
      <c r="E58" s="19"/>
      <c r="F58" s="19"/>
      <c r="G58" s="48">
        <v>0.0</v>
      </c>
      <c r="H58" s="19"/>
      <c r="I58" s="19"/>
      <c r="J58" s="48">
        <v>0.0</v>
      </c>
      <c r="K58" s="19"/>
      <c r="L58" s="19"/>
      <c r="M58" s="11">
        <f t="shared" ref="M58:M67" si="5">IFERROR(IFERROR(E58*F58,0)+IFERROR(H58*I58,0)+IFERROR(K58*L58,0),0)</f>
        <v>0</v>
      </c>
      <c r="N58" s="10"/>
      <c r="O58" s="3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9" t="s">
        <v>51</v>
      </c>
      <c r="B59" s="69" t="s">
        <v>22</v>
      </c>
      <c r="C59" s="47" t="s">
        <v>202</v>
      </c>
      <c r="D59" s="50">
        <v>0.0</v>
      </c>
      <c r="E59" s="23"/>
      <c r="F59" s="23"/>
      <c r="G59" s="50">
        <v>0.0</v>
      </c>
      <c r="H59" s="23"/>
      <c r="I59" s="23"/>
      <c r="J59" s="50">
        <v>0.0</v>
      </c>
      <c r="K59" s="23"/>
      <c r="L59" s="23"/>
      <c r="M59" s="11">
        <f t="shared" si="5"/>
        <v>0</v>
      </c>
      <c r="N59" s="13"/>
      <c r="O59" s="3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6" t="s">
        <v>52</v>
      </c>
      <c r="B60" s="69" t="s">
        <v>22</v>
      </c>
      <c r="C60" s="47" t="s">
        <v>202</v>
      </c>
      <c r="D60" s="48">
        <v>0.0</v>
      </c>
      <c r="E60" s="19"/>
      <c r="F60" s="19"/>
      <c r="G60" s="48">
        <v>0.0</v>
      </c>
      <c r="H60" s="19"/>
      <c r="I60" s="19"/>
      <c r="J60" s="48">
        <v>0.0</v>
      </c>
      <c r="K60" s="19"/>
      <c r="L60" s="19"/>
      <c r="M60" s="11">
        <f t="shared" si="5"/>
        <v>0</v>
      </c>
      <c r="N60" s="10"/>
      <c r="O60" s="3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9" t="s">
        <v>82</v>
      </c>
      <c r="B61" s="69" t="s">
        <v>22</v>
      </c>
      <c r="C61" s="47" t="s">
        <v>246</v>
      </c>
      <c r="D61" s="50">
        <v>1.0</v>
      </c>
      <c r="E61" s="23"/>
      <c r="F61" s="23"/>
      <c r="G61" s="50">
        <v>1.0</v>
      </c>
      <c r="H61" s="23"/>
      <c r="I61" s="23"/>
      <c r="J61" s="50">
        <v>1.0</v>
      </c>
      <c r="K61" s="23"/>
      <c r="L61" s="23"/>
      <c r="M61" s="11">
        <f t="shared" si="5"/>
        <v>0</v>
      </c>
      <c r="N61" s="13"/>
      <c r="O61" s="3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6" t="s">
        <v>83</v>
      </c>
      <c r="B62" s="69" t="s">
        <v>22</v>
      </c>
      <c r="C62" s="47" t="s">
        <v>257</v>
      </c>
      <c r="D62" s="48">
        <v>1.0</v>
      </c>
      <c r="E62" s="19"/>
      <c r="F62" s="19"/>
      <c r="G62" s="48">
        <v>1.0</v>
      </c>
      <c r="H62" s="19"/>
      <c r="I62" s="19"/>
      <c r="J62" s="48">
        <v>0.0</v>
      </c>
      <c r="K62" s="19"/>
      <c r="L62" s="19"/>
      <c r="M62" s="11">
        <f t="shared" si="5"/>
        <v>0</v>
      </c>
      <c r="N62" s="51"/>
      <c r="O62" s="3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9" t="s">
        <v>84</v>
      </c>
      <c r="B63" s="69" t="s">
        <v>22</v>
      </c>
      <c r="C63" s="47" t="s">
        <v>201</v>
      </c>
      <c r="D63" s="50">
        <v>1.0</v>
      </c>
      <c r="E63" s="23"/>
      <c r="F63" s="23"/>
      <c r="G63" s="50">
        <v>0.0</v>
      </c>
      <c r="H63" s="23"/>
      <c r="I63" s="23"/>
      <c r="J63" s="50">
        <v>0.0</v>
      </c>
      <c r="K63" s="23"/>
      <c r="L63" s="23"/>
      <c r="M63" s="11">
        <f t="shared" si="5"/>
        <v>0</v>
      </c>
      <c r="N63" s="51"/>
      <c r="O63" s="3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6" t="s">
        <v>85</v>
      </c>
      <c r="B64" s="69" t="s">
        <v>22</v>
      </c>
      <c r="C64" s="47" t="s">
        <v>232</v>
      </c>
      <c r="D64" s="48">
        <v>0.0</v>
      </c>
      <c r="E64" s="19"/>
      <c r="F64" s="19"/>
      <c r="G64" s="48">
        <v>0.0</v>
      </c>
      <c r="H64" s="19"/>
      <c r="I64" s="19"/>
      <c r="J64" s="48">
        <v>0.0</v>
      </c>
      <c r="K64" s="19"/>
      <c r="L64" s="19"/>
      <c r="M64" s="11">
        <f t="shared" si="5"/>
        <v>0</v>
      </c>
      <c r="N64" s="10"/>
      <c r="O64" s="32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9" t="s">
        <v>86</v>
      </c>
      <c r="B65" s="69" t="s">
        <v>22</v>
      </c>
      <c r="C65" s="47" t="s">
        <v>214</v>
      </c>
      <c r="D65" s="50">
        <v>0.0</v>
      </c>
      <c r="E65" s="23"/>
      <c r="F65" s="23"/>
      <c r="G65" s="50">
        <v>0.0</v>
      </c>
      <c r="H65" s="23"/>
      <c r="I65" s="23"/>
      <c r="J65" s="50">
        <v>0.0</v>
      </c>
      <c r="K65" s="23"/>
      <c r="L65" s="23"/>
      <c r="M65" s="11">
        <f t="shared" si="5"/>
        <v>0</v>
      </c>
      <c r="N65" s="51"/>
      <c r="O65" s="3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6" t="s">
        <v>87</v>
      </c>
      <c r="B66" s="69" t="s">
        <v>22</v>
      </c>
      <c r="C66" s="47" t="s">
        <v>201</v>
      </c>
      <c r="D66" s="48">
        <v>1.0</v>
      </c>
      <c r="E66" s="19"/>
      <c r="F66" s="19"/>
      <c r="G66" s="48">
        <v>0.0</v>
      </c>
      <c r="H66" s="19"/>
      <c r="I66" s="19"/>
      <c r="J66" s="48">
        <v>0.0</v>
      </c>
      <c r="K66" s="19"/>
      <c r="L66" s="19"/>
      <c r="M66" s="11">
        <f t="shared" si="5"/>
        <v>0</v>
      </c>
      <c r="N66" s="51"/>
      <c r="O66" s="3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9" t="s">
        <v>53</v>
      </c>
      <c r="B67" s="69" t="s">
        <v>22</v>
      </c>
      <c r="C67" s="47" t="s">
        <v>203</v>
      </c>
      <c r="D67" s="50">
        <v>0.0</v>
      </c>
      <c r="E67" s="23"/>
      <c r="F67" s="23"/>
      <c r="G67" s="50">
        <v>0.0</v>
      </c>
      <c r="H67" s="23"/>
      <c r="I67" s="23"/>
      <c r="J67" s="50">
        <v>0.0</v>
      </c>
      <c r="K67" s="23"/>
      <c r="L67" s="23"/>
      <c r="M67" s="11">
        <f t="shared" si="5"/>
        <v>0</v>
      </c>
      <c r="N67" s="51"/>
      <c r="O67" s="3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72" t="s">
        <v>216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11">
        <f>SUM(M58,M59,M60,M61,M62,M63,M64,M65,M66,M67)</f>
        <v>0</v>
      </c>
      <c r="N68" s="73"/>
      <c r="O68" s="7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74" t="s">
        <v>217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6" t="s">
        <v>50</v>
      </c>
      <c r="B71" s="75" t="s">
        <v>23</v>
      </c>
      <c r="C71" s="47" t="s">
        <v>202</v>
      </c>
      <c r="D71" s="48">
        <v>0.0</v>
      </c>
      <c r="E71" s="19"/>
      <c r="F71" s="19"/>
      <c r="G71" s="48">
        <v>0.0</v>
      </c>
      <c r="H71" s="19"/>
      <c r="I71" s="19"/>
      <c r="J71" s="48">
        <v>0.0</v>
      </c>
      <c r="K71" s="19"/>
      <c r="L71" s="19"/>
      <c r="M71" s="11">
        <f t="shared" ref="M71:M80" si="6">IFERROR(IFERROR(E71*F71,0)+IFERROR(H71*I71,0)+IFERROR(K71*L71,0),0)</f>
        <v>0</v>
      </c>
      <c r="N71" s="10"/>
      <c r="O71" s="3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9" t="s">
        <v>51</v>
      </c>
      <c r="B72" s="75" t="s">
        <v>23</v>
      </c>
      <c r="C72" s="47" t="s">
        <v>202</v>
      </c>
      <c r="D72" s="50">
        <v>0.0</v>
      </c>
      <c r="E72" s="23"/>
      <c r="F72" s="23"/>
      <c r="G72" s="50">
        <v>0.0</v>
      </c>
      <c r="H72" s="23"/>
      <c r="I72" s="23"/>
      <c r="J72" s="50">
        <v>0.0</v>
      </c>
      <c r="K72" s="23"/>
      <c r="L72" s="23"/>
      <c r="M72" s="11">
        <f t="shared" si="6"/>
        <v>0</v>
      </c>
      <c r="N72" s="13"/>
      <c r="O72" s="3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6" t="s">
        <v>52</v>
      </c>
      <c r="B73" s="75" t="s">
        <v>23</v>
      </c>
      <c r="C73" s="47" t="s">
        <v>202</v>
      </c>
      <c r="D73" s="48">
        <v>0.0</v>
      </c>
      <c r="E73" s="19"/>
      <c r="F73" s="19"/>
      <c r="G73" s="48">
        <v>0.0</v>
      </c>
      <c r="H73" s="19"/>
      <c r="I73" s="19"/>
      <c r="J73" s="48">
        <v>0.0</v>
      </c>
      <c r="K73" s="19"/>
      <c r="L73" s="19"/>
      <c r="M73" s="11">
        <f t="shared" si="6"/>
        <v>0</v>
      </c>
      <c r="N73" s="10"/>
      <c r="O73" s="3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9" t="s">
        <v>82</v>
      </c>
      <c r="B74" s="75" t="s">
        <v>23</v>
      </c>
      <c r="C74" s="47" t="s">
        <v>246</v>
      </c>
      <c r="D74" s="50">
        <v>1.0</v>
      </c>
      <c r="E74" s="23"/>
      <c r="F74" s="23"/>
      <c r="G74" s="50">
        <v>1.0</v>
      </c>
      <c r="H74" s="23"/>
      <c r="I74" s="23"/>
      <c r="J74" s="50">
        <v>1.0</v>
      </c>
      <c r="K74" s="23"/>
      <c r="L74" s="23"/>
      <c r="M74" s="11">
        <f t="shared" si="6"/>
        <v>0</v>
      </c>
      <c r="N74" s="13"/>
      <c r="O74" s="3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6" t="s">
        <v>83</v>
      </c>
      <c r="B75" s="75" t="s">
        <v>23</v>
      </c>
      <c r="C75" s="47" t="s">
        <v>257</v>
      </c>
      <c r="D75" s="48">
        <v>1.0</v>
      </c>
      <c r="E75" s="19"/>
      <c r="F75" s="19"/>
      <c r="G75" s="48">
        <v>1.0</v>
      </c>
      <c r="H75" s="19"/>
      <c r="I75" s="19"/>
      <c r="J75" s="48">
        <v>0.0</v>
      </c>
      <c r="K75" s="19"/>
      <c r="L75" s="19"/>
      <c r="M75" s="11">
        <f t="shared" si="6"/>
        <v>0</v>
      </c>
      <c r="N75" s="51"/>
      <c r="O75" s="32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9" t="s">
        <v>84</v>
      </c>
      <c r="B76" s="75" t="s">
        <v>23</v>
      </c>
      <c r="C76" s="47" t="s">
        <v>201</v>
      </c>
      <c r="D76" s="50">
        <v>1.0</v>
      </c>
      <c r="E76" s="23"/>
      <c r="F76" s="23"/>
      <c r="G76" s="50">
        <v>0.0</v>
      </c>
      <c r="H76" s="23"/>
      <c r="I76" s="23"/>
      <c r="J76" s="50">
        <v>0.0</v>
      </c>
      <c r="K76" s="23"/>
      <c r="L76" s="23"/>
      <c r="M76" s="11">
        <f t="shared" si="6"/>
        <v>0</v>
      </c>
      <c r="N76" s="51"/>
      <c r="O76" s="3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6" t="s">
        <v>85</v>
      </c>
      <c r="B77" s="75" t="s">
        <v>23</v>
      </c>
      <c r="C77" s="47" t="s">
        <v>232</v>
      </c>
      <c r="D77" s="48">
        <v>0.0</v>
      </c>
      <c r="E77" s="19"/>
      <c r="F77" s="19"/>
      <c r="G77" s="48">
        <v>0.0</v>
      </c>
      <c r="H77" s="19"/>
      <c r="I77" s="19"/>
      <c r="J77" s="48">
        <v>0.0</v>
      </c>
      <c r="K77" s="19"/>
      <c r="L77" s="19"/>
      <c r="M77" s="11">
        <f t="shared" si="6"/>
        <v>0</v>
      </c>
      <c r="N77" s="10"/>
      <c r="O77" s="32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9" t="s">
        <v>86</v>
      </c>
      <c r="B78" s="75" t="s">
        <v>23</v>
      </c>
      <c r="C78" s="47" t="s">
        <v>214</v>
      </c>
      <c r="D78" s="50">
        <v>0.0</v>
      </c>
      <c r="E78" s="23"/>
      <c r="F78" s="23"/>
      <c r="G78" s="50">
        <v>0.0</v>
      </c>
      <c r="H78" s="23"/>
      <c r="I78" s="23"/>
      <c r="J78" s="50">
        <v>0.0</v>
      </c>
      <c r="K78" s="23"/>
      <c r="L78" s="23"/>
      <c r="M78" s="11">
        <f t="shared" si="6"/>
        <v>0</v>
      </c>
      <c r="N78" s="51"/>
      <c r="O78" s="3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6" t="s">
        <v>87</v>
      </c>
      <c r="B79" s="75" t="s">
        <v>23</v>
      </c>
      <c r="C79" s="47" t="s">
        <v>201</v>
      </c>
      <c r="D79" s="48">
        <v>1.0</v>
      </c>
      <c r="E79" s="19"/>
      <c r="F79" s="19"/>
      <c r="G79" s="48">
        <v>0.0</v>
      </c>
      <c r="H79" s="19"/>
      <c r="I79" s="19"/>
      <c r="J79" s="48">
        <v>0.0</v>
      </c>
      <c r="K79" s="19"/>
      <c r="L79" s="19"/>
      <c r="M79" s="11">
        <f t="shared" si="6"/>
        <v>0</v>
      </c>
      <c r="N79" s="51"/>
      <c r="O79" s="32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9" t="s">
        <v>53</v>
      </c>
      <c r="B80" s="75" t="s">
        <v>23</v>
      </c>
      <c r="C80" s="47" t="s">
        <v>203</v>
      </c>
      <c r="D80" s="50">
        <v>0.0</v>
      </c>
      <c r="E80" s="23"/>
      <c r="F80" s="23"/>
      <c r="G80" s="50">
        <v>0.0</v>
      </c>
      <c r="H80" s="23"/>
      <c r="I80" s="23"/>
      <c r="J80" s="50">
        <v>0.0</v>
      </c>
      <c r="K80" s="23"/>
      <c r="L80" s="23"/>
      <c r="M80" s="11">
        <f t="shared" si="6"/>
        <v>0</v>
      </c>
      <c r="N80" s="51"/>
      <c r="O80" s="3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76" t="s">
        <v>218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11">
        <f>SUM(M71,M72,M73,M74,M75,M76,M77,M78,M79,M80)</f>
        <v>0</v>
      </c>
      <c r="N81" s="77"/>
      <c r="O81" s="7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78" t="s">
        <v>219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6" t="s">
        <v>50</v>
      </c>
      <c r="B84" s="79" t="s">
        <v>24</v>
      </c>
      <c r="C84" s="47" t="s">
        <v>202</v>
      </c>
      <c r="D84" s="48">
        <v>0.0</v>
      </c>
      <c r="E84" s="19"/>
      <c r="F84" s="19"/>
      <c r="G84" s="48">
        <v>0.0</v>
      </c>
      <c r="H84" s="19"/>
      <c r="I84" s="19"/>
      <c r="J84" s="48">
        <v>0.0</v>
      </c>
      <c r="K84" s="19"/>
      <c r="L84" s="19"/>
      <c r="M84" s="11">
        <f t="shared" ref="M84:M93" si="7">IFERROR(IFERROR(E84*F84,0)+IFERROR(H84*I84,0)+IFERROR(K84*L84,0),0)</f>
        <v>0</v>
      </c>
      <c r="N84" s="10"/>
      <c r="O84" s="32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9" t="s">
        <v>51</v>
      </c>
      <c r="B85" s="79" t="s">
        <v>24</v>
      </c>
      <c r="C85" s="47" t="s">
        <v>202</v>
      </c>
      <c r="D85" s="50">
        <v>0.0</v>
      </c>
      <c r="E85" s="23"/>
      <c r="F85" s="23"/>
      <c r="G85" s="50">
        <v>0.0</v>
      </c>
      <c r="H85" s="23"/>
      <c r="I85" s="23"/>
      <c r="J85" s="50">
        <v>0.0</v>
      </c>
      <c r="K85" s="23"/>
      <c r="L85" s="23"/>
      <c r="M85" s="11">
        <f t="shared" si="7"/>
        <v>0</v>
      </c>
      <c r="N85" s="13"/>
      <c r="O85" s="3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6" t="s">
        <v>52</v>
      </c>
      <c r="B86" s="79" t="s">
        <v>24</v>
      </c>
      <c r="C86" s="47" t="s">
        <v>202</v>
      </c>
      <c r="D86" s="48">
        <v>0.0</v>
      </c>
      <c r="E86" s="19"/>
      <c r="F86" s="19"/>
      <c r="G86" s="48">
        <v>0.0</v>
      </c>
      <c r="H86" s="19"/>
      <c r="I86" s="19"/>
      <c r="J86" s="48">
        <v>0.0</v>
      </c>
      <c r="K86" s="19"/>
      <c r="L86" s="19"/>
      <c r="M86" s="11">
        <f t="shared" si="7"/>
        <v>0</v>
      </c>
      <c r="N86" s="10"/>
      <c r="O86" s="32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9" t="s">
        <v>82</v>
      </c>
      <c r="B87" s="79" t="s">
        <v>24</v>
      </c>
      <c r="C87" s="47" t="s">
        <v>246</v>
      </c>
      <c r="D87" s="50">
        <v>1.0</v>
      </c>
      <c r="E87" s="23"/>
      <c r="F87" s="23"/>
      <c r="G87" s="50">
        <v>1.0</v>
      </c>
      <c r="H87" s="23"/>
      <c r="I87" s="23"/>
      <c r="J87" s="50">
        <v>1.0</v>
      </c>
      <c r="K87" s="23"/>
      <c r="L87" s="23"/>
      <c r="M87" s="11">
        <f t="shared" si="7"/>
        <v>0</v>
      </c>
      <c r="N87" s="13"/>
      <c r="O87" s="3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6" t="s">
        <v>83</v>
      </c>
      <c r="B88" s="79" t="s">
        <v>24</v>
      </c>
      <c r="C88" s="47" t="s">
        <v>257</v>
      </c>
      <c r="D88" s="48">
        <v>1.0</v>
      </c>
      <c r="E88" s="19"/>
      <c r="F88" s="19"/>
      <c r="G88" s="48">
        <v>1.0</v>
      </c>
      <c r="H88" s="19"/>
      <c r="I88" s="19"/>
      <c r="J88" s="48">
        <v>0.0</v>
      </c>
      <c r="K88" s="19"/>
      <c r="L88" s="19"/>
      <c r="M88" s="11">
        <f t="shared" si="7"/>
        <v>0</v>
      </c>
      <c r="N88" s="51"/>
      <c r="O88" s="32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9" t="s">
        <v>84</v>
      </c>
      <c r="B89" s="79" t="s">
        <v>24</v>
      </c>
      <c r="C89" s="47" t="s">
        <v>201</v>
      </c>
      <c r="D89" s="50">
        <v>1.0</v>
      </c>
      <c r="E89" s="23"/>
      <c r="F89" s="23"/>
      <c r="G89" s="50">
        <v>0.0</v>
      </c>
      <c r="H89" s="23"/>
      <c r="I89" s="23"/>
      <c r="J89" s="50">
        <v>0.0</v>
      </c>
      <c r="K89" s="23"/>
      <c r="L89" s="23"/>
      <c r="M89" s="11">
        <f t="shared" si="7"/>
        <v>0</v>
      </c>
      <c r="N89" s="51"/>
      <c r="O89" s="3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6" t="s">
        <v>85</v>
      </c>
      <c r="B90" s="79" t="s">
        <v>24</v>
      </c>
      <c r="C90" s="47" t="s">
        <v>232</v>
      </c>
      <c r="D90" s="48">
        <v>0.0</v>
      </c>
      <c r="E90" s="19"/>
      <c r="F90" s="19"/>
      <c r="G90" s="48">
        <v>0.0</v>
      </c>
      <c r="H90" s="19"/>
      <c r="I90" s="19"/>
      <c r="J90" s="48">
        <v>0.0</v>
      </c>
      <c r="K90" s="19"/>
      <c r="L90" s="19"/>
      <c r="M90" s="11">
        <f t="shared" si="7"/>
        <v>0</v>
      </c>
      <c r="N90" s="10"/>
      <c r="O90" s="32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9" t="s">
        <v>86</v>
      </c>
      <c r="B91" s="79" t="s">
        <v>24</v>
      </c>
      <c r="C91" s="47" t="s">
        <v>214</v>
      </c>
      <c r="D91" s="50">
        <v>0.0</v>
      </c>
      <c r="E91" s="23"/>
      <c r="F91" s="23"/>
      <c r="G91" s="50">
        <v>0.0</v>
      </c>
      <c r="H91" s="23"/>
      <c r="I91" s="23"/>
      <c r="J91" s="50">
        <v>0.0</v>
      </c>
      <c r="K91" s="23"/>
      <c r="L91" s="23"/>
      <c r="M91" s="11">
        <f t="shared" si="7"/>
        <v>0</v>
      </c>
      <c r="N91" s="51"/>
      <c r="O91" s="3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6" t="s">
        <v>87</v>
      </c>
      <c r="B92" s="79" t="s">
        <v>24</v>
      </c>
      <c r="C92" s="47" t="s">
        <v>201</v>
      </c>
      <c r="D92" s="48">
        <v>1.0</v>
      </c>
      <c r="E92" s="19"/>
      <c r="F92" s="19"/>
      <c r="G92" s="48">
        <v>0.0</v>
      </c>
      <c r="H92" s="19"/>
      <c r="I92" s="19"/>
      <c r="J92" s="48">
        <v>0.0</v>
      </c>
      <c r="K92" s="19"/>
      <c r="L92" s="19"/>
      <c r="M92" s="11">
        <f t="shared" si="7"/>
        <v>0</v>
      </c>
      <c r="N92" s="51"/>
      <c r="O92" s="3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9" t="s">
        <v>53</v>
      </c>
      <c r="B93" s="79" t="s">
        <v>24</v>
      </c>
      <c r="C93" s="47" t="s">
        <v>203</v>
      </c>
      <c r="D93" s="50">
        <v>0.0</v>
      </c>
      <c r="E93" s="23"/>
      <c r="F93" s="23"/>
      <c r="G93" s="50">
        <v>0.0</v>
      </c>
      <c r="H93" s="23"/>
      <c r="I93" s="23"/>
      <c r="J93" s="50">
        <v>0.0</v>
      </c>
      <c r="K93" s="23"/>
      <c r="L93" s="23"/>
      <c r="M93" s="11">
        <f t="shared" si="7"/>
        <v>0</v>
      </c>
      <c r="N93" s="51"/>
      <c r="O93" s="3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80" t="s">
        <v>220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11">
        <f>SUM(M84,M85,M86,M87,M88,M89,M90,M91,M92,M93)</f>
        <v>0</v>
      </c>
      <c r="N94" s="82"/>
      <c r="O94" s="82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83" t="s">
        <v>221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6" t="s">
        <v>50</v>
      </c>
      <c r="B97" s="84" t="s">
        <v>25</v>
      </c>
      <c r="C97" s="47" t="s">
        <v>202</v>
      </c>
      <c r="D97" s="48">
        <v>0.0</v>
      </c>
      <c r="E97" s="19"/>
      <c r="F97" s="19"/>
      <c r="G97" s="48">
        <v>0.0</v>
      </c>
      <c r="H97" s="19"/>
      <c r="I97" s="19"/>
      <c r="J97" s="48">
        <v>0.0</v>
      </c>
      <c r="K97" s="19"/>
      <c r="L97" s="19"/>
      <c r="M97" s="11">
        <f t="shared" ref="M97:M106" si="8">IFERROR(IFERROR(E97*F97,0)+IFERROR(H97*I97,0)+IFERROR(K97*L97,0),0)</f>
        <v>0</v>
      </c>
      <c r="N97" s="10"/>
      <c r="O97" s="32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9" t="s">
        <v>51</v>
      </c>
      <c r="B98" s="84" t="s">
        <v>25</v>
      </c>
      <c r="C98" s="47" t="s">
        <v>202</v>
      </c>
      <c r="D98" s="50">
        <v>0.0</v>
      </c>
      <c r="E98" s="23"/>
      <c r="F98" s="23"/>
      <c r="G98" s="50">
        <v>0.0</v>
      </c>
      <c r="H98" s="23"/>
      <c r="I98" s="23"/>
      <c r="J98" s="50">
        <v>0.0</v>
      </c>
      <c r="K98" s="23"/>
      <c r="L98" s="23"/>
      <c r="M98" s="11">
        <f t="shared" si="8"/>
        <v>0</v>
      </c>
      <c r="N98" s="13"/>
      <c r="O98" s="3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6" t="s">
        <v>52</v>
      </c>
      <c r="B99" s="84" t="s">
        <v>25</v>
      </c>
      <c r="C99" s="47" t="s">
        <v>202</v>
      </c>
      <c r="D99" s="48">
        <v>0.0</v>
      </c>
      <c r="E99" s="19"/>
      <c r="F99" s="19"/>
      <c r="G99" s="48">
        <v>0.0</v>
      </c>
      <c r="H99" s="19"/>
      <c r="I99" s="19"/>
      <c r="J99" s="48">
        <v>0.0</v>
      </c>
      <c r="K99" s="19"/>
      <c r="L99" s="19"/>
      <c r="M99" s="11">
        <f t="shared" si="8"/>
        <v>0</v>
      </c>
      <c r="N99" s="10"/>
      <c r="O99" s="32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9" t="s">
        <v>82</v>
      </c>
      <c r="B100" s="84" t="s">
        <v>25</v>
      </c>
      <c r="C100" s="47" t="s">
        <v>246</v>
      </c>
      <c r="D100" s="50">
        <v>1.0</v>
      </c>
      <c r="E100" s="23"/>
      <c r="F100" s="23"/>
      <c r="G100" s="50">
        <v>1.0</v>
      </c>
      <c r="H100" s="23"/>
      <c r="I100" s="23"/>
      <c r="J100" s="50">
        <v>1.0</v>
      </c>
      <c r="K100" s="23"/>
      <c r="L100" s="23"/>
      <c r="M100" s="11">
        <f t="shared" si="8"/>
        <v>0</v>
      </c>
      <c r="N100" s="13"/>
      <c r="O100" s="3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6" t="s">
        <v>83</v>
      </c>
      <c r="B101" s="84" t="s">
        <v>25</v>
      </c>
      <c r="C101" s="47" t="s">
        <v>257</v>
      </c>
      <c r="D101" s="48">
        <v>1.0</v>
      </c>
      <c r="E101" s="19"/>
      <c r="F101" s="19"/>
      <c r="G101" s="48">
        <v>1.0</v>
      </c>
      <c r="H101" s="19"/>
      <c r="I101" s="19"/>
      <c r="J101" s="48">
        <v>0.0</v>
      </c>
      <c r="K101" s="19"/>
      <c r="L101" s="19"/>
      <c r="M101" s="11">
        <f t="shared" si="8"/>
        <v>0</v>
      </c>
      <c r="N101" s="51"/>
      <c r="O101" s="32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9" t="s">
        <v>84</v>
      </c>
      <c r="B102" s="84" t="s">
        <v>25</v>
      </c>
      <c r="C102" s="47" t="s">
        <v>201</v>
      </c>
      <c r="D102" s="50">
        <v>1.0</v>
      </c>
      <c r="E102" s="23"/>
      <c r="F102" s="23"/>
      <c r="G102" s="50">
        <v>0.0</v>
      </c>
      <c r="H102" s="23"/>
      <c r="I102" s="23"/>
      <c r="J102" s="50">
        <v>0.0</v>
      </c>
      <c r="K102" s="23"/>
      <c r="L102" s="23"/>
      <c r="M102" s="11">
        <f t="shared" si="8"/>
        <v>0</v>
      </c>
      <c r="N102" s="51"/>
      <c r="O102" s="3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6" t="s">
        <v>85</v>
      </c>
      <c r="B103" s="84" t="s">
        <v>25</v>
      </c>
      <c r="C103" s="47" t="s">
        <v>232</v>
      </c>
      <c r="D103" s="48">
        <v>0.0</v>
      </c>
      <c r="E103" s="19"/>
      <c r="F103" s="19"/>
      <c r="G103" s="48">
        <v>0.0</v>
      </c>
      <c r="H103" s="19"/>
      <c r="I103" s="19"/>
      <c r="J103" s="48">
        <v>0.0</v>
      </c>
      <c r="K103" s="19"/>
      <c r="L103" s="19"/>
      <c r="M103" s="11">
        <f t="shared" si="8"/>
        <v>0</v>
      </c>
      <c r="N103" s="10"/>
      <c r="O103" s="32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9" t="s">
        <v>86</v>
      </c>
      <c r="B104" s="84" t="s">
        <v>25</v>
      </c>
      <c r="C104" s="47" t="s">
        <v>214</v>
      </c>
      <c r="D104" s="50">
        <v>0.0</v>
      </c>
      <c r="E104" s="23"/>
      <c r="F104" s="23"/>
      <c r="G104" s="50">
        <v>0.0</v>
      </c>
      <c r="H104" s="23"/>
      <c r="I104" s="23"/>
      <c r="J104" s="50">
        <v>0.0</v>
      </c>
      <c r="K104" s="23"/>
      <c r="L104" s="23"/>
      <c r="M104" s="11">
        <f t="shared" si="8"/>
        <v>0</v>
      </c>
      <c r="N104" s="51"/>
      <c r="O104" s="3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6" t="s">
        <v>87</v>
      </c>
      <c r="B105" s="84" t="s">
        <v>25</v>
      </c>
      <c r="C105" s="47" t="s">
        <v>201</v>
      </c>
      <c r="D105" s="48">
        <v>1.0</v>
      </c>
      <c r="E105" s="19"/>
      <c r="F105" s="19"/>
      <c r="G105" s="48">
        <v>0.0</v>
      </c>
      <c r="H105" s="19"/>
      <c r="I105" s="19"/>
      <c r="J105" s="48">
        <v>0.0</v>
      </c>
      <c r="K105" s="19"/>
      <c r="L105" s="19"/>
      <c r="M105" s="11">
        <f t="shared" si="8"/>
        <v>0</v>
      </c>
      <c r="N105" s="51"/>
      <c r="O105" s="32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9" t="s">
        <v>53</v>
      </c>
      <c r="B106" s="84" t="s">
        <v>25</v>
      </c>
      <c r="C106" s="47" t="s">
        <v>203</v>
      </c>
      <c r="D106" s="50">
        <v>0.0</v>
      </c>
      <c r="E106" s="23"/>
      <c r="F106" s="23"/>
      <c r="G106" s="50">
        <v>0.0</v>
      </c>
      <c r="H106" s="23"/>
      <c r="I106" s="23"/>
      <c r="J106" s="50">
        <v>0.0</v>
      </c>
      <c r="K106" s="23"/>
      <c r="L106" s="23"/>
      <c r="M106" s="11">
        <f t="shared" si="8"/>
        <v>0</v>
      </c>
      <c r="N106" s="51"/>
      <c r="O106" s="3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85" t="s">
        <v>222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11">
        <f>SUM(M97,M98,M99,M100,M101,M102,M103,M104,M105,M106)</f>
        <v>0</v>
      </c>
      <c r="N107" s="86"/>
      <c r="O107" s="8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25" t="s">
        <v>223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0.0" customHeight="1">
      <c r="A110" s="5" t="s">
        <v>224</v>
      </c>
      <c r="B110" s="2"/>
      <c r="C110" s="2"/>
      <c r="D110" s="2"/>
      <c r="E110" s="3"/>
      <c r="F110" s="5" t="s">
        <v>225</v>
      </c>
      <c r="G110" s="3"/>
      <c r="H110" s="5" t="s">
        <v>226</v>
      </c>
      <c r="I110" s="2"/>
      <c r="J110" s="3"/>
      <c r="K110" s="5" t="s">
        <v>227</v>
      </c>
      <c r="L110" s="2"/>
      <c r="M110" s="2"/>
      <c r="N110" s="2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87"/>
      <c r="B111" s="2"/>
      <c r="C111" s="2"/>
      <c r="D111" s="2"/>
      <c r="E111" s="3"/>
      <c r="F111" s="87"/>
      <c r="G111" s="3"/>
      <c r="H111" s="87"/>
      <c r="I111" s="2"/>
      <c r="J111" s="3"/>
      <c r="K111" s="87"/>
      <c r="L111" s="2"/>
      <c r="M111" s="2"/>
      <c r="N111" s="2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88"/>
      <c r="B112" s="2"/>
      <c r="C112" s="2"/>
      <c r="D112" s="2"/>
      <c r="E112" s="3"/>
      <c r="F112" s="88"/>
      <c r="G112" s="3"/>
      <c r="H112" s="88"/>
      <c r="I112" s="2"/>
      <c r="J112" s="3"/>
      <c r="K112" s="88"/>
      <c r="L112" s="2"/>
      <c r="M112" s="2"/>
      <c r="N112" s="2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87"/>
      <c r="B113" s="2"/>
      <c r="C113" s="2"/>
      <c r="D113" s="2"/>
      <c r="E113" s="3"/>
      <c r="F113" s="87"/>
      <c r="G113" s="3"/>
      <c r="H113" s="87"/>
      <c r="I113" s="2"/>
      <c r="J113" s="3"/>
      <c r="K113" s="87"/>
      <c r="L113" s="2"/>
      <c r="M113" s="2"/>
      <c r="N113" s="2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88"/>
      <c r="B114" s="2"/>
      <c r="C114" s="2"/>
      <c r="D114" s="2"/>
      <c r="E114" s="3"/>
      <c r="F114" s="88"/>
      <c r="G114" s="3"/>
      <c r="H114" s="88"/>
      <c r="I114" s="2"/>
      <c r="J114" s="3"/>
      <c r="K114" s="88"/>
      <c r="L114" s="2"/>
      <c r="M114" s="2"/>
      <c r="N114" s="2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O1"/>
    <mergeCell ref="A2:O2"/>
    <mergeCell ref="B3:E3"/>
    <mergeCell ref="F3:I3"/>
    <mergeCell ref="J3:O3"/>
    <mergeCell ref="A5:O5"/>
    <mergeCell ref="A18:O18"/>
    <mergeCell ref="A16:L16"/>
    <mergeCell ref="A29:L29"/>
    <mergeCell ref="A31:O31"/>
    <mergeCell ref="A42:L42"/>
    <mergeCell ref="A44:O44"/>
    <mergeCell ref="A55:L55"/>
    <mergeCell ref="A57:O57"/>
    <mergeCell ref="A68:L68"/>
    <mergeCell ref="A70:O70"/>
    <mergeCell ref="A81:L81"/>
    <mergeCell ref="A83:O83"/>
    <mergeCell ref="A94:L94"/>
    <mergeCell ref="A96:O96"/>
    <mergeCell ref="A107:L107"/>
    <mergeCell ref="H111:J111"/>
    <mergeCell ref="K111:O111"/>
    <mergeCell ref="A109:O109"/>
    <mergeCell ref="A110:E110"/>
    <mergeCell ref="F110:G110"/>
    <mergeCell ref="H110:J110"/>
    <mergeCell ref="K110:O110"/>
    <mergeCell ref="A111:E111"/>
    <mergeCell ref="F111:G111"/>
    <mergeCell ref="A113:E113"/>
    <mergeCell ref="A114:E114"/>
    <mergeCell ref="F114:G114"/>
    <mergeCell ref="H114:J114"/>
    <mergeCell ref="K114:O114"/>
    <mergeCell ref="A112:E112"/>
    <mergeCell ref="F112:G112"/>
    <mergeCell ref="H112:J112"/>
    <mergeCell ref="K112:O112"/>
    <mergeCell ref="F113:G113"/>
    <mergeCell ref="H113:J113"/>
    <mergeCell ref="K113:O113"/>
  </mergeCells>
  <printOptions/>
  <pageMargins bottom="1.0" footer="0.0" header="0.0" left="0.75" right="0.75" top="1.0"/>
  <pageSetup orientation="landscape"/>
  <drawing r:id="rId1"/>
</worksheet>
</file>